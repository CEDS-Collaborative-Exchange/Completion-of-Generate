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https://applieden-my.sharepoint.com/personal/rlett_aemcorp_com/Documents/MSIS CEDS/ETL Checklists/CEDS Collaborative Exchange Upload/"/>
    </mc:Choice>
  </mc:AlternateContent>
  <xr:revisionPtr revIDLastSave="21" documentId="8_{70519AD1-7CD9-483C-B885-5C8A016A1015}" xr6:coauthVersionLast="47" xr6:coauthVersionMax="47" xr10:uidLastSave="{9A6F7E3D-9FE5-40B5-83C1-CC538BF42DB5}"/>
  <bookViews>
    <workbookView xWindow="-108" yWindow="-108" windowWidth="23256" windowHeight="13896" tabRatio="709" activeTab="3" xr2:uid="{00000000-000D-0000-FFFF-FFFF00000000}"/>
  </bookViews>
  <sheets>
    <sheet name="Sign Off" sheetId="20" r:id="rId1"/>
    <sheet name="Introduction" sheetId="12" r:id="rId2"/>
    <sheet name="Instructions" sheetId="16" r:id="rId3"/>
    <sheet name="ETL Detail" sheetId="1" r:id="rId4"/>
    <sheet name="Missing Data" sheetId="19" r:id="rId5"/>
    <sheet name="Column Descriptions" sheetId="17" r:id="rId6"/>
    <sheet name="Change Log-ETL" sheetId="8" r:id="rId7"/>
    <sheet name="Technical Notes" sheetId="10" r:id="rId8"/>
  </sheets>
  <definedNames>
    <definedName name="_xlnm.Print_Area" localSheetId="2">Instructions!$B$2:$D$6</definedName>
    <definedName name="_xlnm.Print_Area" localSheetId="1">Introduction!$A$1:$C$16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7" i="1" l="1"/>
  <c r="P37" i="1"/>
  <c r="O37" i="1"/>
  <c r="N37" i="1"/>
  <c r="M37" i="1"/>
  <c r="G37" i="1"/>
  <c r="F37" i="1"/>
  <c r="T34" i="1"/>
  <c r="T35" i="1"/>
  <c r="T36" i="1"/>
  <c r="P36" i="1"/>
  <c r="O36" i="1"/>
  <c r="N36" i="1"/>
  <c r="M36" i="1"/>
  <c r="G36" i="1"/>
  <c r="F36" i="1"/>
  <c r="P35" i="1"/>
  <c r="O35" i="1"/>
  <c r="N35" i="1"/>
  <c r="M35" i="1"/>
  <c r="G35" i="1"/>
  <c r="F35" i="1"/>
  <c r="P34" i="1"/>
  <c r="O34" i="1"/>
  <c r="N34" i="1"/>
  <c r="M34" i="1"/>
  <c r="G34" i="1"/>
  <c r="F34" i="1"/>
  <c r="F22" i="1" l="1"/>
  <c r="F23" i="1"/>
  <c r="F24" i="1"/>
  <c r="F20" i="1"/>
  <c r="F4" i="1"/>
  <c r="F5" i="1"/>
  <c r="F6" i="1"/>
  <c r="F7" i="1"/>
  <c r="F8" i="1"/>
  <c r="F9" i="1"/>
  <c r="F10" i="1"/>
  <c r="F11" i="1"/>
  <c r="F12" i="1"/>
  <c r="F13" i="1"/>
  <c r="F14" i="1"/>
  <c r="F15" i="1"/>
  <c r="F16" i="1"/>
  <c r="F17" i="1"/>
  <c r="F18" i="1"/>
  <c r="F19" i="1"/>
  <c r="F21" i="1"/>
  <c r="F25" i="1"/>
  <c r="F26" i="1"/>
  <c r="F27" i="1"/>
  <c r="F28" i="1"/>
  <c r="F29" i="1"/>
  <c r="F30" i="1"/>
  <c r="F31" i="1"/>
  <c r="F32" i="1"/>
  <c r="F33" i="1"/>
  <c r="F38" i="1"/>
  <c r="F39" i="1"/>
  <c r="F40" i="1"/>
  <c r="F41" i="1"/>
  <c r="F42" i="1"/>
</calcChain>
</file>

<file path=xl/sharedStrings.xml><?xml version="1.0" encoding="utf-8"?>
<sst xmlns="http://schemas.openxmlformats.org/spreadsheetml/2006/main" count="1389" uniqueCount="394">
  <si>
    <t>Name</t>
  </si>
  <si>
    <t>Signature</t>
  </si>
  <si>
    <t>Date of Delivery</t>
  </si>
  <si>
    <t>ETL Documentation Template</t>
  </si>
  <si>
    <r>
      <rPr>
        <sz val="18"/>
        <color rgb="FF2B5266"/>
        <rFont val="Calibri"/>
        <family val="2"/>
        <scheme val="minor"/>
      </rPr>
      <t>This template supports documentation of business rules, data elements and data sources to confirm all elements necesssary for extract, transform, and load (ETL) process.</t>
    </r>
    <r>
      <rPr>
        <strike/>
        <sz val="18"/>
        <color rgb="FF2B5266"/>
        <rFont val="Calibri"/>
        <family val="2"/>
        <scheme val="minor"/>
      </rPr>
      <t xml:space="preserve"> </t>
    </r>
  </si>
  <si>
    <t>Who should use this resource?</t>
  </si>
  <si>
    <t>•</t>
  </si>
  <si>
    <r>
      <t>State Education Agency (SEA) staff should complete the ETL checklist as a team. Include positions such as the ED</t>
    </r>
    <r>
      <rPr>
        <i/>
        <sz val="16"/>
        <color theme="1" tint="0.249977111117893"/>
        <rFont val="Calibri"/>
        <family val="2"/>
        <scheme val="minor"/>
      </rPr>
      <t>Facts</t>
    </r>
    <r>
      <rPr>
        <sz val="16"/>
        <color theme="1" tint="0.249977111117893"/>
        <rFont val="Calibri"/>
        <family val="2"/>
        <scheme val="minor"/>
      </rPr>
      <t xml:space="preserve"> Coordinator, developers or IT staff, and subject matter experts for each ED</t>
    </r>
    <r>
      <rPr>
        <i/>
        <sz val="16"/>
        <color theme="1" tint="0.249977111117893"/>
        <rFont val="Calibri"/>
        <family val="2"/>
        <scheme val="minor"/>
      </rPr>
      <t>Facts</t>
    </r>
    <r>
      <rPr>
        <sz val="16"/>
        <color theme="1" tint="0.249977111117893"/>
        <rFont val="Calibri"/>
        <family val="2"/>
        <scheme val="minor"/>
      </rPr>
      <t xml:space="preserve"> data file. </t>
    </r>
  </si>
  <si>
    <t>What does the resource contain?</t>
  </si>
  <si>
    <r>
      <rPr>
        <b/>
        <sz val="16"/>
        <rFont val="Calibri"/>
        <family val="2"/>
        <scheme val="minor"/>
      </rPr>
      <t>Instructions:</t>
    </r>
    <r>
      <rPr>
        <sz val="16"/>
        <rFont val="Calibri"/>
        <family val="2"/>
        <scheme val="minor"/>
      </rPr>
      <t xml:space="preserve"> Provides details on how to complete each column of the ETL Detail tab.</t>
    </r>
  </si>
  <si>
    <r>
      <rPr>
        <b/>
        <sz val="16"/>
        <rFont val="Calibri"/>
        <family val="2"/>
        <scheme val="minor"/>
      </rPr>
      <t xml:space="preserve">Column Description: </t>
    </r>
    <r>
      <rPr>
        <sz val="16"/>
        <rFont val="Calibri"/>
        <family val="2"/>
        <scheme val="minor"/>
      </rPr>
      <t>Provides details about each of the columns in the ETL Detail tab.</t>
    </r>
  </si>
  <si>
    <r>
      <rPr>
        <b/>
        <sz val="16"/>
        <rFont val="Calibri"/>
        <family val="2"/>
        <scheme val="minor"/>
      </rPr>
      <t>ETL Detail:</t>
    </r>
    <r>
      <rPr>
        <sz val="16"/>
        <rFont val="Calibri"/>
        <family val="2"/>
        <scheme val="minor"/>
      </rPr>
      <t xml:space="preserve"> The ETL Detail tab provides a complete guide to all the types of information needed to accurately develop the ETL. </t>
    </r>
  </si>
  <si>
    <r>
      <rPr>
        <b/>
        <sz val="16"/>
        <color theme="1" tint="0.249977111117893"/>
        <rFont val="Calibri"/>
        <family val="2"/>
        <scheme val="minor"/>
      </rPr>
      <t>Change Log-ETL:</t>
    </r>
    <r>
      <rPr>
        <sz val="16"/>
        <color theme="1" tint="0.249977111117893"/>
        <rFont val="Calibri"/>
        <family val="2"/>
        <scheme val="minor"/>
      </rPr>
      <t xml:space="preserve"> A Change Log tab to record updates to data elements or tables.</t>
    </r>
  </si>
  <si>
    <r>
      <rPr>
        <b/>
        <sz val="16"/>
        <color theme="1" tint="0.249977111117893"/>
        <rFont val="Calibri"/>
        <family val="2"/>
        <scheme val="minor"/>
      </rPr>
      <t>Technical Notes:</t>
    </r>
    <r>
      <rPr>
        <sz val="16"/>
        <color theme="1" tint="0.249977111117893"/>
        <rFont val="Calibri"/>
        <family val="2"/>
        <scheme val="minor"/>
      </rPr>
      <t xml:space="preserve"> A tab to record Technical Notes on SEA-specific rules or definitions.</t>
    </r>
  </si>
  <si>
    <t>How should the resource be used?</t>
  </si>
  <si>
    <r>
      <t>The Generate project team will use the ETL Documentation Tool to create a data dictionary of all data elements and data sources required for ED</t>
    </r>
    <r>
      <rPr>
        <i/>
        <sz val="16"/>
        <rFont val="Calibri"/>
        <family val="2"/>
        <scheme val="minor"/>
      </rPr>
      <t>Facts</t>
    </r>
    <r>
      <rPr>
        <sz val="16"/>
        <rFont val="Calibri"/>
        <family val="2"/>
        <scheme val="minor"/>
      </rPr>
      <t xml:space="preserve"> submissions, including detailed information on each element.</t>
    </r>
  </si>
  <si>
    <r>
      <t>It provides clear and complete information on where the source data reside and the rules for extracting, transforming, and loading the data into the CEDS Data Warehouse. The ETL Document can also be the official documentation for communicating within SEAs what data are used for reporting to ED</t>
    </r>
    <r>
      <rPr>
        <i/>
        <sz val="16"/>
        <rFont val="Calibri"/>
        <family val="2"/>
        <scheme val="minor"/>
      </rPr>
      <t>Facts</t>
    </r>
    <r>
      <rPr>
        <sz val="16"/>
        <rFont val="Calibri"/>
        <family val="2"/>
        <scheme val="minor"/>
      </rPr>
      <t>. ED</t>
    </r>
    <r>
      <rPr>
        <i/>
        <sz val="16"/>
        <rFont val="Calibri"/>
        <family val="2"/>
        <scheme val="minor"/>
      </rPr>
      <t>Facts</t>
    </r>
    <r>
      <rPr>
        <sz val="16"/>
        <rFont val="Calibri"/>
        <family val="2"/>
        <scheme val="minor"/>
      </rPr>
      <t xml:space="preserve"> Coordinators and SMEs will use ETL Documents to communicate and officially track the business rules used for ED</t>
    </r>
    <r>
      <rPr>
        <i/>
        <sz val="16"/>
        <rFont val="Calibri"/>
        <family val="2"/>
        <scheme val="minor"/>
      </rPr>
      <t xml:space="preserve">Facts </t>
    </r>
    <r>
      <rPr>
        <sz val="16"/>
        <rFont val="Calibri"/>
        <family val="2"/>
        <scheme val="minor"/>
      </rPr>
      <t>reporting.</t>
    </r>
  </si>
  <si>
    <t>ETL Documentation Item</t>
  </si>
  <si>
    <t>Description</t>
  </si>
  <si>
    <t>Provide detail on the Source System &amp; Element Details</t>
  </si>
  <si>
    <r>
      <rPr>
        <b/>
        <sz val="14"/>
        <color rgb="FF404040"/>
        <rFont val="Calibri"/>
        <family val="2"/>
        <scheme val="minor"/>
      </rPr>
      <t xml:space="preserve">Complete Columns C-O in the ETL Detail tab.
</t>
    </r>
    <r>
      <rPr>
        <sz val="14"/>
        <color rgb="FF404040"/>
        <rFont val="Calibri"/>
        <family val="2"/>
        <scheme val="minor"/>
      </rPr>
      <t xml:space="preserve">
</t>
    </r>
    <r>
      <rPr>
        <b/>
        <sz val="14"/>
        <color rgb="FF404040"/>
        <rFont val="Calibri"/>
        <family val="2"/>
        <scheme val="minor"/>
      </rPr>
      <t xml:space="preserve">Provide the "Location" of the Source and Destination
</t>
    </r>
    <r>
      <rPr>
        <sz val="14"/>
        <color rgb="FF404040"/>
        <rFont val="Calibri"/>
        <family val="2"/>
        <scheme val="minor"/>
      </rPr>
      <t xml:space="preserve">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
</t>
    </r>
    <r>
      <rPr>
        <b/>
        <sz val="14"/>
        <color rgb="FF404040"/>
        <rFont val="Calibri"/>
        <family val="2"/>
        <scheme val="minor"/>
      </rPr>
      <t xml:space="preserve">Provide the Name of the Element at the Source and Destination
</t>
    </r>
    <r>
      <rPr>
        <sz val="14"/>
        <color rgb="FF404040"/>
        <rFont val="Calibri"/>
        <family val="2"/>
        <scheme val="minor"/>
      </rPr>
      <t xml:space="preserve">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
</t>
    </r>
    <r>
      <rPr>
        <b/>
        <sz val="14"/>
        <color rgb="FF404040"/>
        <rFont val="Calibri"/>
        <family val="2"/>
        <scheme val="minor"/>
      </rPr>
      <t xml:space="preserve">Provide the Name of the Option Set at the Source and Destination
</t>
    </r>
    <r>
      <rPr>
        <sz val="14"/>
        <color rgb="FF404040"/>
        <rFont val="Calibri"/>
        <family val="2"/>
        <scheme val="minor"/>
      </rPr>
      <t xml:space="preserve">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
</t>
    </r>
    <r>
      <rPr>
        <b/>
        <sz val="14"/>
        <color rgb="FF404040"/>
        <rFont val="Calibri"/>
        <family val="2"/>
        <scheme val="minor"/>
      </rPr>
      <t xml:space="preserve">Identify Source Data Type/Length
</t>
    </r>
    <r>
      <rPr>
        <sz val="14"/>
        <color rgb="FF404040"/>
        <rFont val="Calibri"/>
        <family val="2"/>
        <scheme val="minor"/>
      </rPr>
      <t xml:space="preserve">Provide information about the source system data type and length.
</t>
    </r>
  </si>
  <si>
    <t>Complete Source to Generate Transformation Columns</t>
  </si>
  <si>
    <r>
      <rPr>
        <b/>
        <sz val="14"/>
        <color rgb="FF404040"/>
        <rFont val="Calibri"/>
        <family val="2"/>
        <scheme val="minor"/>
      </rPr>
      <t xml:space="preserve">Complete Columns P-R in the ETL Detail tab.
</t>
    </r>
    <r>
      <rPr>
        <sz val="14"/>
        <color rgb="FF404040"/>
        <rFont val="Calibri"/>
        <family val="2"/>
        <scheme val="minor"/>
      </rPr>
      <t xml:space="preserve">
</t>
    </r>
    <r>
      <rPr>
        <b/>
        <sz val="14"/>
        <color rgb="FF404040"/>
        <rFont val="Calibri"/>
        <family val="2"/>
        <scheme val="minor"/>
      </rPr>
      <t xml:space="preserve">Describe the Selection Criteria
</t>
    </r>
    <r>
      <rPr>
        <sz val="14"/>
        <color rgb="FF404040"/>
        <rFont val="Calibri"/>
        <family val="2"/>
        <scheme val="minor"/>
      </rPr>
      <t xml:space="preserve">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
</t>
    </r>
    <r>
      <rPr>
        <b/>
        <sz val="14"/>
        <color rgb="FF404040"/>
        <rFont val="Calibri"/>
        <family val="2"/>
        <scheme val="minor"/>
      </rPr>
      <t xml:space="preserve">Define the Transformation Rules
</t>
    </r>
    <r>
      <rPr>
        <sz val="14"/>
        <color rgb="FF404040"/>
        <rFont val="Calibri"/>
        <family val="2"/>
        <scheme val="minor"/>
      </rPr>
      <t>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
Notes
Use this field for any extra information needed.</t>
    </r>
  </si>
  <si>
    <t xml:space="preserve">CEDS Element IDs and Alignment Responses </t>
  </si>
  <si>
    <r>
      <rPr>
        <b/>
        <sz val="14"/>
        <color rgb="FF404040"/>
        <rFont val="Calibri"/>
        <family val="2"/>
        <scheme val="minor"/>
      </rPr>
      <t xml:space="preserve">Complete Columns AB-AD in the ETL Detail tab.
</t>
    </r>
    <r>
      <rPr>
        <sz val="14"/>
        <color rgb="FF404040"/>
        <rFont val="Calibri"/>
        <family val="2"/>
        <scheme val="minor"/>
      </rPr>
      <t xml:space="preserve">
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dictionary.This information supports development of Transformation  Rules in column Q. For more information and examples, see the Align Module 4: Aligning Elements to CEDS (Part 2) tutorial.  </t>
    </r>
  </si>
  <si>
    <t xml:space="preserve">Data Governance </t>
  </si>
  <si>
    <r>
      <rPr>
        <b/>
        <sz val="14"/>
        <color rgb="FF404040"/>
        <rFont val="Calibri"/>
        <family val="2"/>
        <scheme val="minor"/>
      </rPr>
      <t xml:space="preserve">Complete Columns AP-AS in the ETL Detail tab.
</t>
    </r>
    <r>
      <rPr>
        <sz val="14"/>
        <color rgb="FF404040"/>
        <rFont val="Calibri"/>
        <family val="2"/>
        <scheme val="minor"/>
      </rPr>
      <t xml:space="preserve">
Identify at the element/option set level the data steward(s) responsible for that particular data.  These are the stakeholders who should verify that the transformation rules have been written correctly. If using CEDS align, this data should be stored in CEDS. </t>
    </r>
  </si>
  <si>
    <t>Section and ETL Detail tab Columns</t>
  </si>
  <si>
    <t>Responsible for Completion</t>
  </si>
  <si>
    <t>Column Name</t>
  </si>
  <si>
    <t>Column Description/Purpose</t>
  </si>
  <si>
    <t>CEDS Align Matching Field</t>
  </si>
  <si>
    <t>ETL Metadata Details (A-B)</t>
  </si>
  <si>
    <t>Prefilled</t>
  </si>
  <si>
    <t xml:space="preserve">Prepopulated </t>
  </si>
  <si>
    <t>Default Row Number</t>
  </si>
  <si>
    <t>Each row in the ETL Documentation tab is assigned as it is added. Row numbers do not shift with new releases (i.e., Default Row numbers remain constant across versions).</t>
  </si>
  <si>
    <t>n/a</t>
  </si>
  <si>
    <t xml:space="preserve">CEDS Change Log </t>
  </si>
  <si>
    <t>This column, completed by CIID, indicates whether an element has been added, removed, or changed in the current version of the documentation.  Blank cells in this column indicate no change to the element.</t>
  </si>
  <si>
    <t>Source System &amp; Element Details (C-O)</t>
  </si>
  <si>
    <t xml:space="preserve">SEA Fill </t>
  </si>
  <si>
    <t>SEA Populate</t>
  </si>
  <si>
    <t xml:space="preserve">Source Common Name </t>
  </si>
  <si>
    <t>This is how program areas would refer to the source system.  If someone were to ask where that data is located, how would a program area (non-technical) person respond?</t>
  </si>
  <si>
    <t>System Name</t>
  </si>
  <si>
    <t xml:space="preserve">Source Technical Name </t>
  </si>
  <si>
    <t>This is the technical name for the location (e.g. the server name).</t>
  </si>
  <si>
    <t>System of Record</t>
  </si>
  <si>
    <t>Source Database Name</t>
  </si>
  <si>
    <t>This is the name of the database in which the data are housed.  If not housed in a database, this column can be modified to represent a file folder structure or some other data store structure.</t>
  </si>
  <si>
    <t>Database Name</t>
  </si>
  <si>
    <t>Source Schema Name</t>
  </si>
  <si>
    <t>This is the name of the schema in which the data are housed.  If not housed in a database, this column can be modified to represent a file folder structure or some other data store structure.</t>
  </si>
  <si>
    <t>Schema Name</t>
  </si>
  <si>
    <t>Source Table Name</t>
  </si>
  <si>
    <t>This is the name of the table in which the data are housed.  If not housed in a table, this column can be modified to represent a file folder structure or some other data store structure.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</si>
  <si>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</si>
  <si>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</si>
  <si>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</si>
  <si>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</si>
  <si>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</si>
  <si>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Element/Field Name</t>
  </si>
  <si>
    <t>Source Element Definition</t>
  </si>
  <si>
    <t>This is the program-defined definition for this element.</t>
  </si>
  <si>
    <t>Element Definition</t>
  </si>
  <si>
    <t>Source Data Type</t>
  </si>
  <si>
    <t>This is the data type for the element.  Are the data stored as integers, varchars, dates, etc.?</t>
  </si>
  <si>
    <t>Data Type</t>
  </si>
  <si>
    <t>Source Data Length</t>
  </si>
  <si>
    <t>This is the length of the element.</t>
  </si>
  <si>
    <t>Length</t>
  </si>
  <si>
    <t>Source Option Set Code</t>
  </si>
  <si>
    <t>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t>
  </si>
  <si>
    <t xml:space="preserve">Option </t>
  </si>
  <si>
    <t>Source Option Set Description</t>
  </si>
  <si>
    <t>This is a description or definition of the individual option set code in this row.</t>
  </si>
  <si>
    <t xml:space="preserve">Description </t>
  </si>
  <si>
    <t>Source Data Steward</t>
  </si>
  <si>
    <t>This is the data steward (program area usually) that is responsible for the collection or use of this data element and is responsible for the definition of the element.</t>
  </si>
  <si>
    <t xml:space="preserve">Data Steward </t>
  </si>
  <si>
    <t>Source to Generate Transformation (P-R)</t>
  </si>
  <si>
    <t>Selection Criteria</t>
  </si>
  <si>
    <t xml:space="preserve">The filtering rules that will be used when loading source data into the destination tables.  For example, if you exclude schools with a certain value in this field, you can document those rules here. </t>
  </si>
  <si>
    <t>Transformation Rules</t>
  </si>
  <si>
    <t>The rules that will be used to transform the source data into the destination data. Transformation rules that are applicable to the element level are typically included in the “ETL” Sheet as SQL code.</t>
  </si>
  <si>
    <t>Notes</t>
  </si>
  <si>
    <t>Any information that might be useful with respect to this data element.</t>
  </si>
  <si>
    <t>Comments</t>
  </si>
  <si>
    <r>
      <t>ED</t>
    </r>
    <r>
      <rPr>
        <i/>
        <sz val="14"/>
        <color theme="1"/>
        <rFont val="Calibri"/>
        <family val="2"/>
        <scheme val="minor"/>
      </rPr>
      <t>Facts</t>
    </r>
    <r>
      <rPr>
        <sz val="14"/>
        <color theme="1"/>
        <rFont val="Calibri"/>
        <family val="2"/>
        <scheme val="minor"/>
      </rPr>
      <t xml:space="preserve"> Information (S)</t>
    </r>
  </si>
  <si>
    <r>
      <t>ED</t>
    </r>
    <r>
      <rPr>
        <b/>
        <i/>
        <sz val="14"/>
        <color rgb="FF404040"/>
        <rFont val="Calibri"/>
        <family val="2"/>
        <scheme val="minor"/>
      </rPr>
      <t>Facts</t>
    </r>
    <r>
      <rPr>
        <b/>
        <sz val="14"/>
        <color rgb="FF404040"/>
        <rFont val="Calibri"/>
        <family val="2"/>
        <scheme val="minor"/>
      </rPr>
      <t xml:space="preserve"> File Spec Number(s)</t>
    </r>
  </si>
  <si>
    <r>
      <t>All ED</t>
    </r>
    <r>
      <rPr>
        <i/>
        <sz val="14"/>
        <color rgb="FF404040"/>
        <rFont val="Calibri"/>
        <family val="2"/>
        <scheme val="minor"/>
      </rPr>
      <t>Facts</t>
    </r>
    <r>
      <rPr>
        <sz val="14"/>
        <color rgb="FF404040"/>
        <rFont val="Calibri"/>
        <family val="2"/>
        <scheme val="minor"/>
      </rPr>
      <t xml:space="preserve"> File Specifications that are managed by this checklist. This may vary by data element if multiple ED</t>
    </r>
    <r>
      <rPr>
        <i/>
        <sz val="14"/>
        <color rgb="FF404040"/>
        <rFont val="Calibri"/>
        <family val="2"/>
        <scheme val="minor"/>
      </rPr>
      <t>Facts</t>
    </r>
    <r>
      <rPr>
        <sz val="14"/>
        <color rgb="FF404040"/>
        <rFont val="Calibri"/>
        <family val="2"/>
        <scheme val="minor"/>
      </rPr>
      <t xml:space="preserve"> File Specifications are managed and the different ED</t>
    </r>
    <r>
      <rPr>
        <i/>
        <sz val="14"/>
        <color rgb="FF404040"/>
        <rFont val="Calibri"/>
        <family val="2"/>
        <scheme val="minor"/>
      </rPr>
      <t>Facts</t>
    </r>
    <r>
      <rPr>
        <sz val="14"/>
        <color rgb="FF404040"/>
        <rFont val="Calibri"/>
        <family val="2"/>
        <scheme val="minor"/>
      </rPr>
      <t xml:space="preserve"> reports do not require all of the same data elements. </t>
    </r>
  </si>
  <si>
    <t>CEDS Element Details (T-AA)</t>
  </si>
  <si>
    <t xml:space="preserve">Prefilled </t>
  </si>
  <si>
    <t>CEDS Path</t>
  </si>
  <si>
    <t>This is the Common Education Data Standards (CEDS) Domain Entity Schema (DES) path to the data element.</t>
  </si>
  <si>
    <t>CEDS Element Name</t>
  </si>
  <si>
    <t>This is the Common Education Data Standards (CEDS) Domain Entity Schema (DES) element name.</t>
  </si>
  <si>
    <t>CEDS Element Definition</t>
  </si>
  <si>
    <t>This is the Common Education Data Standards (CEDS) Domain Entity Schema (DES) element definition.</t>
  </si>
  <si>
    <t>CEDS Data Type</t>
  </si>
  <si>
    <t>This is the Common Education Data Standards (CEDS) element's data type.</t>
  </si>
  <si>
    <t>CEDS Data Length</t>
  </si>
  <si>
    <t>This is the Common Education Data Standards (CEDS) element's length.</t>
  </si>
  <si>
    <t>CEDS Option Set Code</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</si>
  <si>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</si>
  <si>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CEDS Option Set Description</t>
  </si>
  <si>
    <t>This is a description or definition of the individual Common Education Data Standards (CEDS) option set code in this row.</t>
  </si>
  <si>
    <t>CEDS Element Global ID</t>
  </si>
  <si>
    <t xml:space="preserve">This is the unique ID (non-version specific) assigned to each Common Education Data Standards (CEDS) element. It can be used to look up the current CEDS Element Data Model ID in the event of a CEDS version update. </t>
  </si>
  <si>
    <t>CEDS Element IDs and Alignment Responses (AB-AD)</t>
  </si>
  <si>
    <t>CEDS Element Data Model ID</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</si>
  <si>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</si>
  <si>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t>Element Definition Response ID</t>
  </si>
  <si>
    <r>
      <t>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
    </r>
    <r>
      <rPr>
        <sz val="14"/>
        <rFont val="Calibri"/>
        <family val="2"/>
        <scheme val="minor"/>
      </rPr>
      <t>.</t>
    </r>
    <r>
      <rPr>
        <sz val="14"/>
        <color rgb="FFFF0000"/>
        <rFont val="Calibri"/>
        <family val="2"/>
        <scheme val="minor"/>
      </rPr>
      <t xml:space="preserve"> This information supports development of Transformation Rules in column Q.</t>
    </r>
    <r>
      <rPr>
        <sz val="14"/>
        <color rgb="FF404040"/>
        <rFont val="Calibri"/>
        <family val="2"/>
        <scheme val="minor"/>
      </rPr>
      <t xml:space="preserve"> For more information and examples, see the Align Module 4: Aligning Elements to CEDS (Part 2) tutorial.  </t>
    </r>
  </si>
  <si>
    <t>Align Module 4: Aligning Elements to CEDS (Part 2) tutorial.</t>
  </si>
  <si>
    <t>Option Set Response ID</t>
  </si>
  <si>
    <r>
      <t xml:space="preserve">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t>
    </r>
    <r>
      <rPr>
        <sz val="14"/>
        <color rgb="FFFF0000"/>
        <rFont val="Calibri"/>
        <family val="2"/>
        <scheme val="minor"/>
      </rPr>
      <t xml:space="preserve">This information supports development of Transformation Rules in column Q. </t>
    </r>
    <r>
      <rPr>
        <sz val="14"/>
        <color rgb="FF404040"/>
        <rFont val="Calibri"/>
        <family val="2"/>
        <scheme val="minor"/>
      </rPr>
      <t>For more information and examples, see Align Module 4: Aligning Elements to CEDS (Part 2) tutorial.</t>
    </r>
  </si>
  <si>
    <t>Generate System Level Information (AE-AG)</t>
  </si>
  <si>
    <t>Destination Common Name</t>
  </si>
  <si>
    <t>This is how program areas would refer to the destination system. If someone were to ask where the data are located, how would a program area (non-technical) person respond?</t>
  </si>
  <si>
    <t>Destination Technical Name</t>
  </si>
  <si>
    <t>Destination Database Name</t>
  </si>
  <si>
    <t>This is the name of the database in which the data are housed.</t>
  </si>
  <si>
    <t>Generate Staging &amp; Operational Data Store (ODS) (AH-AI)</t>
  </si>
  <si>
    <t>Destination Staging Table Name</t>
  </si>
  <si>
    <t>This is the name of the table in the staging area in which the data are housed. The database schema name for these tables is “Staging.”</t>
  </si>
  <si>
    <t>Destination Staging Column Name</t>
  </si>
  <si>
    <t>This is the name of the column in the staging area - the element level - for the data.</t>
  </si>
  <si>
    <t>Generate Reporting Data Store (RDS) (AJ-AO)</t>
  </si>
  <si>
    <t>Destination RDS Dimension Table Name</t>
  </si>
  <si>
    <t>This is the name of the dimension table in the Common Education Data Standards (CEDS) Data Warehouse (RDS Star Schema) in which the data are housed.  The database schema name for these tables is “RDS.”</t>
  </si>
  <si>
    <t>Destination RDS Dimension Column Name</t>
  </si>
  <si>
    <t>This is the name of the column in the dimension table in the Common Education Data Standards (CEDS) Data Warehouse (RDS Star Schema) - the element level - for the data.</t>
  </si>
  <si>
    <t>Destination RDS Fact Table Name</t>
  </si>
  <si>
    <t>This is the name of the Fact table in the Common Education Data Standards (CEDS) Data Warehouse (RDS Star Schema) in which the data are housed.  The database schema name for these tables is “RDS.”</t>
  </si>
  <si>
    <t>Destination RDS Fact Column Name</t>
  </si>
  <si>
    <t>This is the name of the column in the Fact table in the Common Education Data Standards (CEDS) Data Warehouse (RDS Star Schema) - the element level - for the data.</t>
  </si>
  <si>
    <t>Destination RDS Report Table Name</t>
  </si>
  <si>
    <t xml:space="preserve">This is the name of the Report table in which the data are housed.  The database schema name for these tables is “RDS.”  </t>
  </si>
  <si>
    <t>Destination RDS Report Column Name</t>
  </si>
  <si>
    <t>This is the name of the column in the Report table - the element level - for the data.</t>
  </si>
  <si>
    <t>Data Governance (AP-AS)</t>
  </si>
  <si>
    <t>Destination Data Steward</t>
  </si>
  <si>
    <t>This is the data steward (program area usually) that is responsible for the use of this data element in Generate and is responsible for the definition of the element.</t>
  </si>
  <si>
    <t>Timing/Scheduling</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</si>
  <si>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</si>
  <si>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Validation Process</t>
  </si>
  <si>
    <t>How will this element/option set and transformation be verified?  Where will validation take place to ensure there are no issues related to the ETL? Will the ETL need to conduct any validation during the ETL process?</t>
  </si>
  <si>
    <t>Notification Process</t>
  </si>
  <si>
    <t>Who needs to be notified if there is an issue in the ETL with this particular element/option set?</t>
  </si>
  <si>
    <t>Source System &amp; Element Details</t>
  </si>
  <si>
    <t>MSIS 2.0 Curated Zone</t>
  </si>
  <si>
    <t>Source to Generate Transformation</t>
  </si>
  <si>
    <r>
      <t>ED</t>
    </r>
    <r>
      <rPr>
        <b/>
        <i/>
        <sz val="14"/>
        <color theme="1"/>
        <rFont val="Calibri"/>
        <family val="2"/>
        <scheme val="minor"/>
      </rPr>
      <t>Facts</t>
    </r>
    <r>
      <rPr>
        <b/>
        <sz val="14"/>
        <color theme="1"/>
        <rFont val="Calibri"/>
        <family val="2"/>
        <scheme val="minor"/>
      </rPr>
      <t xml:space="preserve"> Information</t>
    </r>
  </si>
  <si>
    <t>CEDS Element Details</t>
  </si>
  <si>
    <t>CEDS Element IDs and Alignment Responses</t>
  </si>
  <si>
    <t>Generate System Level Information</t>
  </si>
  <si>
    <t>Generate Staging</t>
  </si>
  <si>
    <t>Generate Reporting Data Store</t>
  </si>
  <si>
    <t>Generate Reports</t>
  </si>
  <si>
    <t>Data Governance</t>
  </si>
  <si>
    <t>Source Common Name</t>
  </si>
  <si>
    <t>Source Schema name</t>
  </si>
  <si>
    <t>Curated Zone Dimension Table Name</t>
  </si>
  <si>
    <t>Curated Zone Dimension Column Name</t>
  </si>
  <si>
    <t>Curated Zone Fact Table Name</t>
  </si>
  <si>
    <t>Curated Zone Fact Column Name</t>
  </si>
  <si>
    <r>
      <t>ED</t>
    </r>
    <r>
      <rPr>
        <b/>
        <i/>
        <sz val="12"/>
        <color theme="0"/>
        <rFont val="Calibri"/>
        <family val="2"/>
        <scheme val="minor"/>
      </rPr>
      <t xml:space="preserve">Facts </t>
    </r>
    <r>
      <rPr>
        <b/>
        <sz val="12"/>
        <color theme="0"/>
        <rFont val="Calibri"/>
        <family val="2"/>
        <scheme val="minor"/>
      </rPr>
      <t>File Spec Number(s)</t>
    </r>
  </si>
  <si>
    <t>A unique number or alphanumeric code assigned to a local education agency by a school system, a state, or other agency or entity.</t>
  </si>
  <si>
    <t>Office of Student Assessment</t>
  </si>
  <si>
    <t>DimLeas</t>
  </si>
  <si>
    <t>LeaIdentifierSea</t>
  </si>
  <si>
    <t>FactSchoolPerformanceIndicators</t>
  </si>
  <si>
    <t>LeaId</t>
  </si>
  <si>
    <t>The LEA's state identifier.  Links to OrganizationIdentfier where RefOrganizationIdentificationSystem.Code = "SEA" and RefOrganizationIdentifierType.Code = "001072" (LEA).</t>
  </si>
  <si>
    <t>FS199, FS200, FS201, FS202, FS205</t>
  </si>
  <si>
    <t>K12 -&gt; LEA -&gt; Identification</t>
  </si>
  <si>
    <t>Local Education Agency Identifier</t>
  </si>
  <si>
    <t>Alphanumeric</t>
  </si>
  <si>
    <t>40 characters maximum</t>
  </si>
  <si>
    <t>Generate</t>
  </si>
  <si>
    <t>SchoolPerformanceIndicators</t>
  </si>
  <si>
    <t>ReportEDFactsSchoolPerformanceIndicators</t>
  </si>
  <si>
    <t>ParentOrganizationStateId</t>
  </si>
  <si>
    <t>A unique number or alphanumeric code assigned to an institution by a school, school system, a state, or other agency or entity.</t>
  </si>
  <si>
    <t>DimK12Schools</t>
  </si>
  <si>
    <t>SchoolIdentifierSea</t>
  </si>
  <si>
    <t>K12SchoolId</t>
  </si>
  <si>
    <t>The school's state identifier.  Links to OrganizationIdentfier where RefOrganizationIdentificationSystem.Code = "SEA" and RefOrganizationIdentifierType.Code = "001073" (K12 School).</t>
  </si>
  <si>
    <t>K12 -&gt; K12 School -&gt; Identification</t>
  </si>
  <si>
    <t>School Identifier</t>
  </si>
  <si>
    <t xml:space="preserve">65588   </t>
  </si>
  <si>
    <t>OrganizationStateId</t>
  </si>
  <si>
    <t>SchoolYear</t>
  </si>
  <si>
    <t>The year for a reported school session.</t>
  </si>
  <si>
    <t>N/A - Not migrated to this data layer.</t>
  </si>
  <si>
    <t>K12 -&gt; Calendar -&gt; Session</t>
  </si>
  <si>
    <t>School Year</t>
  </si>
  <si>
    <t>65063</t>
  </si>
  <si>
    <t>ReportYear</t>
  </si>
  <si>
    <t>The origins of a person.</t>
  </si>
  <si>
    <t>AmericanIndianOrAlaskaNative</t>
  </si>
  <si>
    <t>DimRaces</t>
  </si>
  <si>
    <t>RaceCode</t>
  </si>
  <si>
    <t>RaceId</t>
  </si>
  <si>
    <t>FS199, FS200, FS201, FS202</t>
  </si>
  <si>
    <t>K12 -&gt; K12 Student -&gt; Demographic</t>
  </si>
  <si>
    <t>Race</t>
  </si>
  <si>
    <t xml:space="preserve">69548         </t>
  </si>
  <si>
    <t>ReportEdFactsSchoolPerformanceIndicators</t>
  </si>
  <si>
    <t>RACE</t>
  </si>
  <si>
    <t>Asian</t>
  </si>
  <si>
    <t>BlackOrAfricanAmerican</t>
  </si>
  <si>
    <t>DemographicRaceTwoOrMoreRaces</t>
  </si>
  <si>
    <t>NativeHawaiianorOtherPacificIslander</t>
  </si>
  <si>
    <t>White</t>
  </si>
  <si>
    <t>DimEconomicallyDisadvantagedStatuses</t>
  </si>
  <si>
    <t>EconomicDisadvantageStatusCode</t>
  </si>
  <si>
    <t>EconomicallyDisadvantagedStatusId</t>
  </si>
  <si>
    <t>K12 -&gt; K12 Student -&gt; Economically Disadvantaged</t>
  </si>
  <si>
    <t>Economic Disadvantage Status</t>
  </si>
  <si>
    <t>An indication that the student met the State criteria for classification as having an economic disadvantage.</t>
  </si>
  <si>
    <t>Yes</t>
  </si>
  <si>
    <t>65741</t>
  </si>
  <si>
    <t>EconomicDisadvantageStatus</t>
  </si>
  <si>
    <t>ECONOMICDISADVANTAGESTATUS</t>
  </si>
  <si>
    <t>No</t>
  </si>
  <si>
    <t>Used to indicate persons (A) who are ages 3 through 21; (B) who are enrolled or preparing to enroll in an elementary school or a secondary school; (C ) (who are I, ii, or iii)               (i) who were not born in the United States or whose native languages are  languages other than English; (ii) (who are I and II) (I) who are a Native American or Alaska Native, or a native resident of the outlying areas; and  (II) who come from an environment where languages other than English have a significant impact on their level of language proficiency; or (iii) who are migratory, whose native languages are languages other than English, and who come from an environment where languages other than English are dominant; and (D) whose difficulties in speaking, reading, writing, or understanding the English language may be sufficient to deny the individuals  (who are denied I or ii or iii)  (i) the ability to meet the state's proficient level of achievement on state assessments described in section 1111(b)(3); (ii) the ability to successfully achieve in classrooms where the language of instruction is English; or (iii) the opportunity to participate fully in society.</t>
  </si>
  <si>
    <t>DimEnglishLearnerStatuses</t>
  </si>
  <si>
    <t>EnglishLearnerStatusCode</t>
  </si>
  <si>
    <t>EnglishLearnerStatusId</t>
  </si>
  <si>
    <t>K12 -&gt; K12 Student -&gt; English Learner</t>
  </si>
  <si>
    <t>English Learner Status</t>
  </si>
  <si>
    <t>65783</t>
  </si>
  <si>
    <t>EnglishLearnerStatus</t>
  </si>
  <si>
    <t>LEPSTATUS</t>
  </si>
  <si>
    <t>A person having intellectual disability; hearing impairment, including deafness; speech or language impairment; visual impairment, including blindness; serious emotional disturbance (hereafter referred to as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(IDEA) according to an Individualized Education Program (IEP), Individual Family Service Plan (IFSP), or service plan.</t>
  </si>
  <si>
    <t>DimIdeaStatuses</t>
  </si>
  <si>
    <t>IdeaIndicatorCode</t>
  </si>
  <si>
    <t>IdeaStatusId</t>
  </si>
  <si>
    <t>K12 -&gt; K12 Student-&gt; Disability</t>
  </si>
  <si>
    <t>IDEA Indicator</t>
  </si>
  <si>
    <t xml:space="preserve">65771   </t>
  </si>
  <si>
    <t>IDEAIndicator</t>
  </si>
  <si>
    <t>DISABILITY</t>
  </si>
  <si>
    <t>K12 -&gt; K12Student -&gt; Disability</t>
  </si>
  <si>
    <t>Data Standard updates working through the OSC and will be updated when they are approved</t>
  </si>
  <si>
    <t>SchoolPerformanceIndicatorCategory</t>
  </si>
  <si>
    <t>DimSchoolPerformanceIndicatorCategories</t>
  </si>
  <si>
    <t>SchoolPerformanceIndicatorCategoryCode</t>
  </si>
  <si>
    <t>SchoolPerformanceIndicatorCategoryId</t>
  </si>
  <si>
    <t>SchoolPerformanceIndicatorType</t>
  </si>
  <si>
    <t>DimSchoolPerformanceIndicators</t>
  </si>
  <si>
    <t>SchoolPerformanceIndicatorTypeCode</t>
  </si>
  <si>
    <t>SchoolPerformanceIndicatorId</t>
  </si>
  <si>
    <t>INDICATORTYPE</t>
  </si>
  <si>
    <t>????</t>
  </si>
  <si>
    <t>MISSING</t>
  </si>
  <si>
    <t>IndicatorStatusCode</t>
  </si>
  <si>
    <t>Pending community approval in the CEDS OSC. https://github.com/CEDStandards/CEDS-Elements/issues/912</t>
  </si>
  <si>
    <t>NOSTUDENTS</t>
  </si>
  <si>
    <t>No students in the subgroup</t>
  </si>
  <si>
    <t>SchoolPerformanceIndicatorStatus</t>
  </si>
  <si>
    <t>DimIndicatorStatuses</t>
  </si>
  <si>
    <t>STTDEF</t>
  </si>
  <si>
    <t>State defined status</t>
  </si>
  <si>
    <t>TOOFEW</t>
  </si>
  <si>
    <t>Too few students</t>
  </si>
  <si>
    <t>Pending</t>
  </si>
  <si>
    <t>MISSING Generate ETL information (Metric Type)</t>
  </si>
  <si>
    <t>Implementation Variables -&gt; Report</t>
  </si>
  <si>
    <t>Metric Type</t>
  </si>
  <si>
    <t xml:space="preserve">The measurement scale or level of measurement for a variable. </t>
  </si>
  <si>
    <t>NominalMetNotMet</t>
  </si>
  <si>
    <t>Nominal data - Met/not met</t>
  </si>
  <si>
    <t>OrdinalPerformanceLevel</t>
  </si>
  <si>
    <t>Ordinal data - Performance levels</t>
  </si>
  <si>
    <t>IntervalPercentageScale</t>
  </si>
  <si>
    <t>Interval data - Percentage scale (i.e., 0% to 100%)</t>
  </si>
  <si>
    <t>IntervalIndex</t>
  </si>
  <si>
    <t>Interval data - Index</t>
  </si>
  <si>
    <t>Other</t>
  </si>
  <si>
    <t xml:space="preserve">During the review process, the information below was not available in the ODS_SIS. MDE staff will populate the information when it is available. </t>
  </si>
  <si>
    <t>Missing data in the ETL tab has been clearly marked.</t>
  </si>
  <si>
    <t>Element</t>
  </si>
  <si>
    <t>Missing Information</t>
  </si>
  <si>
    <t>MISSING FROM CEDS</t>
  </si>
  <si>
    <t>Missing from Generate ETL</t>
  </si>
  <si>
    <t>Change Log-ETL
Each time your SEA updates the ETL (generally annually), document information about changes. This provides an overview of changes and decisions made by your SEA team. To minimize burden on future decision making and modifications, in column D, include as much detail as possible about what was changed, what initiated the change, and why it was changed.</t>
  </si>
  <si>
    <t>Date</t>
  </si>
  <si>
    <t>Person Responsible</t>
  </si>
  <si>
    <t>Description of Change</t>
  </si>
  <si>
    <t>Purpose and Impact</t>
  </si>
  <si>
    <t>Technical Notes
This tab can be used to capture Technical Notes on state specific data nuances, additional business rules, and workarounds necessary. Keep a record of issues or lessons learned to prevent repetition of work or data errors. 
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t>
  </si>
  <si>
    <t>Documented Decision or Rule</t>
  </si>
  <si>
    <t>IndicatorStatusId</t>
  </si>
  <si>
    <t>INDICATORSTATUS</t>
  </si>
  <si>
    <t>MAN</t>
  </si>
  <si>
    <t>MA</t>
  </si>
  <si>
    <t>MB</t>
  </si>
  <si>
    <t>MNP</t>
  </si>
  <si>
    <t>MW</t>
  </si>
  <si>
    <t>MM</t>
  </si>
  <si>
    <t>Hispanic</t>
  </si>
  <si>
    <t>MHL</t>
  </si>
  <si>
    <t>amogroup</t>
  </si>
  <si>
    <t>aar_amo_proficiency</t>
  </si>
  <si>
    <t>mderep</t>
  </si>
  <si>
    <t>else 'STTDEF'</t>
  </si>
  <si>
    <t>distid</t>
  </si>
  <si>
    <t>CONCAT(a.distid, a.sch)</t>
  </si>
  <si>
    <t xml:space="preserve">American Indian \ Alaska Native \ Native American </t>
  </si>
  <si>
    <t>Asian MAP – Asian \ Pacific Islander</t>
  </si>
  <si>
    <t>Black (not Hispanic) African American</t>
  </si>
  <si>
    <t>Hispanic \ Latino</t>
  </si>
  <si>
    <t>Multicultural \ Multiethnic \ Multiracial \ other</t>
  </si>
  <si>
    <t>Native Hawaiian \ other Pacific Islander \ Pacific Islander</t>
  </si>
  <si>
    <t>White (not Hispanic) \ Caucasian</t>
  </si>
  <si>
    <t>N/A</t>
  </si>
  <si>
    <t>ECODIS</t>
  </si>
  <si>
    <t>amogroup = 11</t>
  </si>
  <si>
    <t>LEP</t>
  </si>
  <si>
    <t>Economically Disadvantaged (ED) Students</t>
  </si>
  <si>
    <t>English learners</t>
  </si>
  <si>
    <t>Children with one or more 
disabilities (IDEA)</t>
  </si>
  <si>
    <t>WDIS</t>
  </si>
  <si>
    <t>amogroup = 13</t>
  </si>
  <si>
    <t>amogroup = 12</t>
  </si>
  <si>
    <t>IND</t>
  </si>
  <si>
    <t>School Quality and Student Success Measure</t>
  </si>
  <si>
    <t>IND01</t>
  </si>
  <si>
    <t>School Quality and Student Success Measure 1</t>
  </si>
  <si>
    <t>IND02</t>
  </si>
  <si>
    <t>School Quality and Student Success Measure 2</t>
  </si>
  <si>
    <t>IND03</t>
  </si>
  <si>
    <t>School Quality and Student Success Measure 3</t>
  </si>
  <si>
    <t>IND04</t>
  </si>
  <si>
    <t>School Quality and Student Success Measure 4</t>
  </si>
  <si>
    <t>Type of School Performance Indicator (GRM, AAM, OAM, IND, PAELP).</t>
  </si>
  <si>
    <t>amogroup = 2</t>
  </si>
  <si>
    <t>amogroup = 3</t>
  </si>
  <si>
    <t>amogroup = 4</t>
  </si>
  <si>
    <t>amogroup = 5</t>
  </si>
  <si>
    <t>amogroup = 7</t>
  </si>
  <si>
    <t>amogroup = 6</t>
  </si>
  <si>
    <t>amogroup = 8</t>
  </si>
  <si>
    <t>schyr</t>
  </si>
  <si>
    <t>prof_sci_pct, prof_his_pct, prof_his_pct, readiness_pct, report_type</t>
  </si>
  <si>
    <t xml:space="preserve">prof_his_pct </t>
  </si>
  <si>
    <t xml:space="preserve">readiness_pct </t>
  </si>
  <si>
    <t xml:space="preserve">ac_pct </t>
  </si>
  <si>
    <t>prof_sci_den is not null and r.tests_science = 'Y'</t>
  </si>
  <si>
    <t>prof_his_den is not null and r.report_type = 'H'</t>
  </si>
  <si>
    <t>readiness_den is not null and r.report_type = 'H'</t>
  </si>
  <si>
    <t>ac_part_den is not null and r.report_type = 'H'</t>
  </si>
  <si>
    <t>All indicators have additional requirements beyond those specified in the "Selection Criteria" for the element. Specifically, select the current school year from mderep.aar_amo_proficiency, there must be a corresponding record in mderep.aar_impact_data_results (when joining on school_year, district_number, and school_number) and there are a small number of districts excluded in legacy code (which may not need to be specified in Generate assuming the correct loading of directory data).</t>
  </si>
  <si>
    <t xml:space="preserve">prof_sci_pct is null then 'TOOFEW' </t>
  </si>
  <si>
    <t xml:space="preserve">prof_his_pct is null then 'TOOFEW' </t>
  </si>
  <si>
    <t xml:space="preserve">readiness_pct is null then 'TOOFEW' </t>
  </si>
  <si>
    <t xml:space="preserve">ac_pct is null then 'TOOFEW' </t>
  </si>
  <si>
    <t>FS202</t>
  </si>
  <si>
    <t>The element logic varies by indicator.  This is the logic for IND01.</t>
  </si>
  <si>
    <t>The element logic varies by indicator.  This is the logic for IND02.</t>
  </si>
  <si>
    <t>The element logic varies by indicator.  This is the logic for IND03.</t>
  </si>
  <si>
    <t>The element logic varies by indicator.  This is the logic for IND04.</t>
  </si>
  <si>
    <t>Indicator number (GRM01, GRM02, GRM03, AAM01, AAM02, AAM03, etc.)</t>
  </si>
  <si>
    <t>Statuses for school quality or student success.</t>
  </si>
  <si>
    <t>School Performance Indicator Category</t>
  </si>
  <si>
    <t>School Performance Indicator Type</t>
  </si>
  <si>
    <t>School Performance Indicator Status</t>
  </si>
  <si>
    <t>Unknown</t>
  </si>
  <si>
    <t>Type of School Performance Indicator (Expected options: GRM, AAM, OAM, IND, PAELP).</t>
  </si>
  <si>
    <t>Indicator number (Expected options: GRM01, GRM02, GRM03, AAM01, AAM02, AAM03, etc.)</t>
  </si>
  <si>
    <t>Expected options: TOOFEW, STTDEF, NOSTUDENTS</t>
  </si>
  <si>
    <t>This element will not be used in Generate but will need to be set in the metadata survey.</t>
  </si>
  <si>
    <t>CEDS definition is pending an update (see OSC ticket).</t>
  </si>
  <si>
    <t xml:space="preserve">Expected options: Nominal data - Met/not met, Ordinal data - Performance levels, Interval data - Percentage scale (i.e., 0% to 100%), Interval data - Index, Other
https://github.com/CEDStandards/CEDS-Elements/issues/912 </t>
  </si>
  <si>
    <t>DimSchoolYears</t>
  </si>
  <si>
    <t>SchoolYearId</t>
  </si>
  <si>
    <t>DimSchoolYearId</t>
  </si>
  <si>
    <t>SchoolPerformanceIndicatorStateDefinedStatusCode</t>
  </si>
  <si>
    <t>DimSchoolPerformanceIndicatorStateDefinedStatuses</t>
  </si>
  <si>
    <t>SchoolPerformanceIndicatorStateDefinedStatusId</t>
  </si>
  <si>
    <t>STATEDDEFINEDSTATUSCODE</t>
  </si>
  <si>
    <t>School Performance Indicator State Defined Status Code</t>
  </si>
  <si>
    <t>The state defined indicator status.Required when STTDEF permitted value above is used.</t>
  </si>
  <si>
    <t>prof_sci_den</t>
  </si>
  <si>
    <t>prof_his_den</t>
  </si>
  <si>
    <t>readiness_den</t>
  </si>
  <si>
    <t>ac_part_den</t>
  </si>
  <si>
    <t>SchoolPerformanceIndicatorStateDefinedStatus</t>
  </si>
  <si>
    <t>FS202 School Quality or Student Success Indicator Status ETL Detail</t>
  </si>
  <si>
    <t>Name of Deliverable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</si>
</sst>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
  </numFmts>
  <fonts count="58" x14ac:knownFonts="1">
    <font>
      <sz val="11"/>
      <color theme="1"/>
      <name val="Calibri"/>
      <family val="2"/>
      <scheme val="minor"/>
    </font>
    <font>
      <sz val="11"/>
      <color theme="0"/>
      <name val="Calibri"/>
      <family val="2"/>
      <scheme val="minor"/>
    </font>
    <font>
      <sz val="11"/>
      <color theme="1" tint="0.249977111117893"/>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0"/>
      <color theme="1"/>
      <name val="Calibri"/>
      <family val="2"/>
      <scheme val="minor"/>
    </font>
    <font>
      <sz val="14"/>
      <color rgb="FF2B5266"/>
      <name val="Calibri Light"/>
      <family val="2"/>
      <scheme val="major"/>
    </font>
    <font>
      <sz val="18"/>
      <color rgb="FF2B5266"/>
      <name val="Calibri Light"/>
      <family val="2"/>
      <scheme val="major"/>
    </font>
    <font>
      <u/>
      <sz val="11"/>
      <color theme="10"/>
      <name val="Calibri"/>
      <family val="2"/>
      <scheme val="minor"/>
    </font>
    <font>
      <sz val="8"/>
      <name val="Calibri"/>
      <family val="2"/>
      <scheme val="minor"/>
    </font>
    <font>
      <b/>
      <sz val="16"/>
      <color rgb="FF2B5266"/>
      <name val="Calibri"/>
      <family val="2"/>
      <scheme val="minor"/>
    </font>
    <font>
      <b/>
      <sz val="14"/>
      <color theme="0"/>
      <name val="Calibri"/>
      <family val="2"/>
      <scheme val="minor"/>
    </font>
    <font>
      <b/>
      <sz val="16"/>
      <color rgb="FF8791A0"/>
      <name val="Calibri"/>
      <family val="2"/>
      <scheme val="minor"/>
    </font>
    <font>
      <sz val="16"/>
      <color theme="1" tint="0.249977111117893"/>
      <name val="Calibri"/>
      <family val="2"/>
      <scheme val="minor"/>
    </font>
    <font>
      <sz val="16"/>
      <name val="Calibri"/>
      <family val="2"/>
      <scheme val="minor"/>
    </font>
    <font>
      <i/>
      <sz val="16"/>
      <name val="Calibri"/>
      <family val="2"/>
      <scheme val="minor"/>
    </font>
    <font>
      <sz val="18"/>
      <color rgb="FF2B5266"/>
      <name val="Calibri"/>
      <family val="2"/>
      <scheme val="minor"/>
    </font>
    <font>
      <strike/>
      <sz val="18"/>
      <color rgb="FF2B5266"/>
      <name val="Calibri"/>
      <family val="2"/>
      <scheme val="minor"/>
    </font>
    <font>
      <b/>
      <sz val="20"/>
      <color theme="3"/>
      <name val="Calibri"/>
      <family val="2"/>
      <scheme val="minor"/>
    </font>
    <font>
      <sz val="11"/>
      <color rgb="FF2B5266"/>
      <name val="Calibri Light"/>
      <family val="2"/>
      <scheme val="major"/>
    </font>
    <font>
      <b/>
      <sz val="20"/>
      <color rgb="FF2B5266"/>
      <name val="Calibri"/>
      <family val="2"/>
      <scheme val="minor"/>
    </font>
    <font>
      <sz val="16"/>
      <color rgb="FF2B5266"/>
      <name val="Calibri"/>
      <family val="2"/>
      <scheme val="minor"/>
    </font>
    <font>
      <sz val="11"/>
      <color rgb="FF2B5266"/>
      <name val="Calibri"/>
      <family val="2"/>
      <scheme val="minor"/>
    </font>
    <font>
      <sz val="16"/>
      <color theme="1"/>
      <name val="Calibri Light"/>
      <family val="2"/>
      <scheme val="major"/>
    </font>
    <font>
      <b/>
      <sz val="14"/>
      <color theme="1" tint="0.249977111117893"/>
      <name val="Calibri"/>
      <family val="2"/>
      <scheme val="minor"/>
    </font>
    <font>
      <b/>
      <sz val="14"/>
      <color rgb="FF404040"/>
      <name val="Calibri"/>
      <family val="2"/>
      <scheme val="minor"/>
    </font>
    <font>
      <sz val="14"/>
      <color theme="1"/>
      <name val="Calibri"/>
      <family val="2"/>
      <scheme val="minor"/>
    </font>
    <font>
      <sz val="16"/>
      <color theme="1"/>
      <name val="Calibri"/>
      <family val="2"/>
      <scheme val="minor"/>
    </font>
    <font>
      <sz val="16"/>
      <color theme="3"/>
      <name val="Calibri"/>
      <family val="2"/>
      <scheme val="minor"/>
    </font>
    <font>
      <b/>
      <sz val="14"/>
      <color rgb="FF000000"/>
      <name val="Calibri"/>
      <family val="2"/>
      <scheme val="minor"/>
    </font>
    <font>
      <sz val="14"/>
      <color rgb="FF404040"/>
      <name val="Calibri"/>
      <family val="2"/>
      <scheme val="minor"/>
    </font>
    <font>
      <sz val="14"/>
      <color rgb="FF404040"/>
      <name val="Calibri Light"/>
      <family val="2"/>
    </font>
    <font>
      <i/>
      <sz val="14"/>
      <color theme="1"/>
      <name val="Calibri"/>
      <family val="2"/>
      <scheme val="minor"/>
    </font>
    <font>
      <b/>
      <i/>
      <sz val="14"/>
      <color rgb="FF404040"/>
      <name val="Calibri"/>
      <family val="2"/>
      <scheme val="minor"/>
    </font>
    <font>
      <u/>
      <sz val="14"/>
      <color theme="10"/>
      <name val="Calibri"/>
      <family val="2"/>
      <scheme val="minor"/>
    </font>
    <font>
      <sz val="14"/>
      <color theme="1" tint="0.34998626667073579"/>
      <name val="Calibri"/>
      <family val="2"/>
      <scheme val="minor"/>
    </font>
    <font>
      <i/>
      <sz val="14"/>
      <color rgb="FF404040"/>
      <name val="Calibri"/>
      <family val="2"/>
      <scheme val="minor"/>
    </font>
    <font>
      <sz val="14"/>
      <color rgb="FFFF0000"/>
      <name val="Calibri"/>
      <family val="2"/>
      <scheme val="minor"/>
    </font>
    <font>
      <i/>
      <sz val="16"/>
      <color theme="1" tint="0.249977111117893"/>
      <name val="Calibri"/>
      <family val="2"/>
      <scheme val="minor"/>
    </font>
    <font>
      <b/>
      <sz val="9"/>
      <color theme="0"/>
      <name val="Calibri"/>
      <family val="2"/>
      <scheme val="minor"/>
    </font>
    <font>
      <b/>
      <sz val="12"/>
      <color theme="1"/>
      <name val="Calibri"/>
      <family val="2"/>
      <scheme val="minor"/>
    </font>
    <font>
      <b/>
      <sz val="16"/>
      <name val="Calibri"/>
      <family val="2"/>
      <scheme val="minor"/>
    </font>
    <font>
      <b/>
      <sz val="16"/>
      <color theme="1" tint="0.249977111117893"/>
      <name val="Calibri"/>
      <family val="2"/>
      <scheme val="minor"/>
    </font>
    <font>
      <b/>
      <sz val="22"/>
      <color theme="1"/>
      <name val="Calibri"/>
      <family val="2"/>
      <scheme val="minor"/>
    </font>
    <font>
      <b/>
      <sz val="14"/>
      <color theme="1"/>
      <name val="Calibri"/>
      <family val="2"/>
      <scheme val="minor"/>
    </font>
    <font>
      <b/>
      <i/>
      <sz val="14"/>
      <color theme="1"/>
      <name val="Calibri"/>
      <family val="2"/>
      <scheme val="minor"/>
    </font>
    <font>
      <b/>
      <sz val="12"/>
      <color theme="0"/>
      <name val="Calibri"/>
      <family val="2"/>
      <scheme val="minor"/>
    </font>
    <font>
      <b/>
      <i/>
      <sz val="12"/>
      <color theme="0"/>
      <name val="Calibri"/>
      <family val="2"/>
      <scheme val="minor"/>
    </font>
    <font>
      <sz val="14"/>
      <color rgb="FF000000"/>
      <name val="Calibri"/>
      <family val="2"/>
      <scheme val="minor"/>
    </font>
    <font>
      <b/>
      <sz val="11"/>
      <color rgb="FF000000"/>
      <name val="Calibri"/>
      <family val="2"/>
      <scheme val="minor"/>
    </font>
    <font>
      <sz val="11"/>
      <color rgb="FF000000"/>
      <name val="Calibri"/>
      <family val="2"/>
      <scheme val="minor"/>
    </font>
    <font>
      <sz val="16"/>
      <color rgb="FF000000"/>
      <name val="Calibri"/>
      <family val="2"/>
      <scheme val="minor"/>
    </font>
    <font>
      <sz val="11"/>
      <color rgb="FF0000CC"/>
      <name val="Calibri"/>
      <family val="2"/>
      <scheme val="minor"/>
    </font>
    <font>
      <sz val="11"/>
      <name val="Calibri"/>
      <family val="2"/>
      <scheme val="minor"/>
    </font>
    <font>
      <sz val="14"/>
      <name val="Calibri"/>
      <family val="2"/>
      <scheme val="minor"/>
    </font>
    <font>
      <b/>
      <sz val="11"/>
      <color theme="1"/>
      <name val="Calibri"/>
      <family val="2"/>
      <scheme val="minor"/>
    </font>
  </fonts>
  <fills count="10">
    <fill>
      <patternFill patternType="none"/>
    </fill>
    <fill>
      <patternFill patternType="gray125"/>
    </fill>
    <fill>
      <patternFill patternType="solid">
        <fgColor rgb="FFECEEF0"/>
        <bgColor indexed="64"/>
      </patternFill>
    </fill>
    <fill>
      <patternFill patternType="solid">
        <fgColor theme="0"/>
        <bgColor indexed="64"/>
      </patternFill>
    </fill>
    <fill>
      <patternFill patternType="solid">
        <fgColor rgb="FF2B5266"/>
        <bgColor indexed="64"/>
      </patternFill>
    </fill>
    <fill>
      <patternFill patternType="solid">
        <fgColor rgb="FFD5D8DD"/>
        <bgColor indexed="64"/>
      </patternFill>
    </fill>
    <fill>
      <patternFill patternType="solid">
        <fgColor theme="0" tint="-0.249977111117893"/>
        <bgColor indexed="64"/>
      </patternFill>
    </fill>
    <fill>
      <patternFill patternType="solid">
        <fgColor rgb="FFD6DCE4"/>
        <bgColor rgb="FF000000"/>
      </patternFill>
    </fill>
    <fill>
      <patternFill patternType="solid">
        <fgColor theme="1" tint="0.249977111117893"/>
        <bgColor indexed="64"/>
      </patternFill>
    </fill>
    <fill>
      <patternFill patternType="solid">
        <fgColor theme="3" tint="0.79998168889431442"/>
        <bgColor indexed="64"/>
      </patternFill>
    </fill>
  </fills>
  <borders count="14">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right style="thick">
        <color indexed="64"/>
      </right>
      <top/>
      <bottom/>
      <diagonal/>
    </border>
    <border>
      <left/>
      <right/>
      <top/>
      <bottom style="thick">
        <color indexed="64"/>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s>
  <cellStyleXfs count="2">
    <xf numFmtId="0" fontId="0" fillId="0" borderId="0"/>
    <xf numFmtId="0" fontId="10" fillId="0" borderId="0" applyNumberFormat="0" applyFill="0" applyBorder="0" applyAlignment="0" applyProtection="0"/>
  </cellStyleXfs>
  <cellXfs count="120">
    <xf numFmtId="0" fontId="0" fillId="0" borderId="0" xfId="0"/>
    <xf numFmtId="0" fontId="0" fillId="3" borderId="0" xfId="0" applyFill="1"/>
    <xf numFmtId="0" fontId="0" fillId="3" borderId="0" xfId="0" applyFill="1" applyAlignment="1">
      <alignment wrapText="1"/>
    </xf>
    <xf numFmtId="0" fontId="0" fillId="3" borderId="0" xfId="0" applyFill="1" applyAlignment="1">
      <alignment vertical="top"/>
    </xf>
    <xf numFmtId="0" fontId="5" fillId="3" borderId="0" xfId="0" applyFont="1" applyFill="1" applyAlignment="1">
      <alignment vertical="top"/>
    </xf>
    <xf numFmtId="0" fontId="2" fillId="3" borderId="0" xfId="0" applyFont="1" applyFill="1" applyAlignment="1">
      <alignment vertical="top"/>
    </xf>
    <xf numFmtId="0" fontId="6" fillId="3" borderId="0" xfId="0" applyFont="1" applyFill="1" applyAlignment="1">
      <alignment vertical="top"/>
    </xf>
    <xf numFmtId="0" fontId="1" fillId="3" borderId="0" xfId="0" applyFont="1" applyFill="1" applyAlignment="1">
      <alignment vertical="top"/>
    </xf>
    <xf numFmtId="0" fontId="8" fillId="3" borderId="0" xfId="0" applyFont="1" applyFill="1" applyAlignment="1">
      <alignment vertical="top" wrapText="1"/>
    </xf>
    <xf numFmtId="0" fontId="7" fillId="3" borderId="0" xfId="0" applyFont="1" applyFill="1"/>
    <xf numFmtId="0" fontId="7" fillId="3" borderId="0" xfId="0" applyFont="1" applyFill="1" applyAlignment="1">
      <alignment horizontal="left" vertical="top" wrapText="1"/>
    </xf>
    <xf numFmtId="0" fontId="3" fillId="3" borderId="0" xfId="0" applyFont="1" applyFill="1" applyAlignment="1">
      <alignment vertical="top"/>
    </xf>
    <xf numFmtId="0" fontId="10" fillId="3" borderId="0" xfId="1" applyFill="1" applyAlignment="1">
      <alignment vertical="top"/>
    </xf>
    <xf numFmtId="0" fontId="0" fillId="3" borderId="0" xfId="0" applyFill="1" applyAlignment="1">
      <alignment horizontal="left" vertical="top"/>
    </xf>
    <xf numFmtId="0" fontId="0" fillId="3" borderId="0" xfId="0" applyFill="1" applyAlignment="1">
      <alignment horizontal="left"/>
    </xf>
    <xf numFmtId="0" fontId="9" fillId="3" borderId="0" xfId="0" applyFont="1" applyFill="1" applyAlignment="1">
      <alignment vertical="top" wrapText="1"/>
    </xf>
    <xf numFmtId="0" fontId="0" fillId="3" borderId="0" xfId="0" applyFill="1" applyAlignment="1">
      <alignment horizontal="left" wrapText="1"/>
    </xf>
    <xf numFmtId="0" fontId="14" fillId="3" borderId="0" xfId="0" applyFont="1" applyFill="1" applyAlignment="1">
      <alignment horizontal="left" vertical="top"/>
    </xf>
    <xf numFmtId="0" fontId="15" fillId="3" borderId="0" xfId="0" applyFont="1" applyFill="1" applyAlignment="1">
      <alignment vertical="top" wrapText="1"/>
    </xf>
    <xf numFmtId="0" fontId="14" fillId="3" borderId="0" xfId="0" applyFont="1" applyFill="1" applyAlignment="1">
      <alignment vertical="top"/>
    </xf>
    <xf numFmtId="0" fontId="12" fillId="3" borderId="0" xfId="0" applyFont="1" applyFill="1" applyAlignment="1">
      <alignment horizontal="left" vertical="top"/>
    </xf>
    <xf numFmtId="0" fontId="12" fillId="3" borderId="0" xfId="0" applyFont="1" applyFill="1" applyAlignment="1">
      <alignment vertical="top"/>
    </xf>
    <xf numFmtId="0" fontId="16" fillId="3" borderId="0" xfId="0" applyFont="1" applyFill="1" applyAlignment="1">
      <alignment vertical="top" wrapText="1"/>
    </xf>
    <xf numFmtId="0" fontId="18" fillId="3" borderId="0" xfId="0" applyFont="1" applyFill="1" applyAlignment="1">
      <alignment vertical="top"/>
    </xf>
    <xf numFmtId="0" fontId="20" fillId="3" borderId="0" xfId="0" applyFont="1" applyFill="1" applyAlignment="1">
      <alignment horizontal="left" vertical="top"/>
    </xf>
    <xf numFmtId="0" fontId="21" fillId="3" borderId="0" xfId="0" applyFont="1" applyFill="1" applyAlignment="1">
      <alignment vertical="top"/>
    </xf>
    <xf numFmtId="0" fontId="22" fillId="3" borderId="0" xfId="0" applyFont="1" applyFill="1" applyAlignment="1">
      <alignment horizontal="left" vertical="top"/>
    </xf>
    <xf numFmtId="0" fontId="23" fillId="3" borderId="0" xfId="0" applyFont="1" applyFill="1" applyAlignment="1">
      <alignment vertical="top"/>
    </xf>
    <xf numFmtId="0" fontId="24" fillId="3" borderId="0" xfId="0" applyFont="1" applyFill="1" applyAlignment="1">
      <alignment vertical="top"/>
    </xf>
    <xf numFmtId="0" fontId="25" fillId="3" borderId="0" xfId="0" applyFont="1" applyFill="1" applyAlignment="1">
      <alignment vertical="top"/>
    </xf>
    <xf numFmtId="0" fontId="29" fillId="3" borderId="0" xfId="0" applyFont="1" applyFill="1"/>
    <xf numFmtId="0" fontId="30" fillId="3" borderId="0" xfId="0" applyFont="1" applyFill="1"/>
    <xf numFmtId="0" fontId="29" fillId="3" borderId="0" xfId="0" applyFont="1" applyFill="1" applyAlignment="1">
      <alignment horizontal="left" wrapText="1"/>
    </xf>
    <xf numFmtId="0" fontId="28" fillId="5" borderId="1" xfId="0" applyFont="1" applyFill="1" applyBorder="1"/>
    <xf numFmtId="0" fontId="28" fillId="5" borderId="1" xfId="0" applyFont="1" applyFill="1" applyBorder="1" applyAlignment="1">
      <alignment horizontal="left"/>
    </xf>
    <xf numFmtId="0" fontId="28" fillId="3" borderId="1" xfId="0" applyFont="1" applyFill="1" applyBorder="1"/>
    <xf numFmtId="0" fontId="27" fillId="2" borderId="1" xfId="0" applyFont="1" applyFill="1" applyBorder="1" applyAlignment="1">
      <alignment horizontal="left" vertical="top" wrapText="1"/>
    </xf>
    <xf numFmtId="0" fontId="37" fillId="3" borderId="1" xfId="0" applyFont="1" applyFill="1" applyBorder="1" applyAlignment="1">
      <alignment vertical="top" wrapText="1"/>
    </xf>
    <xf numFmtId="0" fontId="27" fillId="2" borderId="1" xfId="0" applyFont="1" applyFill="1" applyBorder="1" applyAlignment="1">
      <alignment vertical="top" wrapText="1"/>
    </xf>
    <xf numFmtId="0" fontId="31"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32" fillId="0" borderId="1" xfId="0" applyFont="1" applyBorder="1" applyAlignment="1">
      <alignment vertical="top" wrapText="1"/>
    </xf>
    <xf numFmtId="0" fontId="27" fillId="3" borderId="1" xfId="0" applyFont="1" applyFill="1" applyBorder="1" applyAlignment="1">
      <alignment horizontal="center" vertical="center" wrapText="1"/>
    </xf>
    <xf numFmtId="0" fontId="28" fillId="3" borderId="1" xfId="0" applyFont="1" applyFill="1" applyBorder="1" applyAlignment="1">
      <alignment vertical="top"/>
    </xf>
    <xf numFmtId="0" fontId="27" fillId="3" borderId="1" xfId="0" applyFont="1" applyFill="1" applyBorder="1" applyAlignment="1">
      <alignment vertical="center" wrapText="1"/>
    </xf>
    <xf numFmtId="0" fontId="27" fillId="0" borderId="1" xfId="0" applyFont="1" applyBorder="1" applyAlignment="1">
      <alignment vertical="center" wrapText="1"/>
    </xf>
    <xf numFmtId="0" fontId="33" fillId="2" borderId="1" xfId="0" applyFont="1" applyFill="1" applyBorder="1" applyAlignment="1">
      <alignment vertical="top" wrapText="1"/>
    </xf>
    <xf numFmtId="0" fontId="26" fillId="2" borderId="1" xfId="0" applyFont="1" applyFill="1" applyBorder="1" applyAlignment="1">
      <alignment vertical="top" wrapText="1"/>
    </xf>
    <xf numFmtId="0" fontId="4" fillId="2" borderId="1" xfId="0" applyFont="1" applyFill="1" applyBorder="1" applyAlignment="1">
      <alignment vertical="top" wrapText="1"/>
    </xf>
    <xf numFmtId="0" fontId="0" fillId="0" borderId="0" xfId="0" applyAlignment="1">
      <alignment horizontal="center" vertical="center"/>
    </xf>
    <xf numFmtId="0" fontId="28" fillId="0" borderId="0" xfId="0" applyFont="1" applyAlignment="1">
      <alignment horizontal="left" vertical="center"/>
    </xf>
    <xf numFmtId="0" fontId="13"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28" fillId="3" borderId="0" xfId="0" applyFont="1" applyFill="1" applyAlignment="1">
      <alignment horizontal="left" vertical="center"/>
    </xf>
    <xf numFmtId="0" fontId="1" fillId="0" borderId="0" xfId="0" applyFont="1" applyAlignment="1">
      <alignment wrapText="1"/>
    </xf>
    <xf numFmtId="0" fontId="1" fillId="3" borderId="0" xfId="0" applyFont="1" applyFill="1" applyAlignment="1">
      <alignment vertical="top" wrapText="1"/>
    </xf>
    <xf numFmtId="0" fontId="41" fillId="3" borderId="0" xfId="0" applyFont="1" applyFill="1" applyAlignment="1">
      <alignment horizontal="left" vertical="center" wrapText="1"/>
    </xf>
    <xf numFmtId="14" fontId="4" fillId="2" borderId="1" xfId="0" applyNumberFormat="1" applyFont="1" applyFill="1" applyBorder="1" applyAlignment="1">
      <alignment vertical="top" wrapText="1"/>
    </xf>
    <xf numFmtId="0" fontId="13" fillId="4" borderId="1" xfId="0" applyFont="1" applyFill="1" applyBorder="1" applyAlignment="1">
      <alignment horizontal="center" vertical="center" wrapText="1"/>
    </xf>
    <xf numFmtId="0" fontId="28" fillId="5" borderId="1" xfId="0" applyFont="1" applyFill="1" applyBorder="1" applyAlignment="1">
      <alignment vertical="top"/>
    </xf>
    <xf numFmtId="0" fontId="28" fillId="5" borderId="1" xfId="0" applyFont="1" applyFill="1" applyBorder="1" applyAlignment="1">
      <alignment horizontal="left" vertical="top"/>
    </xf>
    <xf numFmtId="0" fontId="36" fillId="0" borderId="1" xfId="1" applyFont="1" applyBorder="1" applyAlignment="1">
      <alignment vertical="top"/>
    </xf>
    <xf numFmtId="0" fontId="51" fillId="0" borderId="0" xfId="0" applyFont="1"/>
    <xf numFmtId="0" fontId="52" fillId="0" borderId="0" xfId="0" applyFont="1"/>
    <xf numFmtId="0" fontId="53" fillId="0" borderId="0" xfId="0" applyFont="1"/>
    <xf numFmtId="0" fontId="0" fillId="0" borderId="0" xfId="0" applyAlignment="1">
      <alignment wrapText="1"/>
    </xf>
    <xf numFmtId="0" fontId="0" fillId="0" borderId="0" xfId="0" applyAlignment="1">
      <alignment horizontal="left" wrapText="1"/>
    </xf>
    <xf numFmtId="0" fontId="46" fillId="0" borderId="7" xfId="0" applyFont="1" applyBorder="1" applyAlignment="1">
      <alignment horizontal="centerContinuous"/>
    </xf>
    <xf numFmtId="0" fontId="42" fillId="0" borderId="0" xfId="0" applyFont="1" applyAlignment="1">
      <alignment horizontal="center" vertical="center" wrapText="1"/>
    </xf>
    <xf numFmtId="0" fontId="42" fillId="0" borderId="2" xfId="0" applyFont="1" applyBorder="1" applyAlignment="1">
      <alignment horizontal="center" vertical="center" wrapText="1"/>
    </xf>
    <xf numFmtId="0" fontId="42" fillId="0" borderId="0" xfId="0" applyFont="1" applyAlignment="1">
      <alignment horizontal="center" vertical="center"/>
    </xf>
    <xf numFmtId="0" fontId="42" fillId="0" borderId="2" xfId="0" applyFont="1" applyBorder="1" applyAlignment="1">
      <alignment horizontal="center" vertical="center"/>
    </xf>
    <xf numFmtId="0" fontId="42" fillId="0" borderId="8" xfId="0" applyFont="1" applyBorder="1" applyAlignment="1">
      <alignment horizontal="center" vertical="center" wrapText="1"/>
    </xf>
    <xf numFmtId="0" fontId="48" fillId="0" borderId="4" xfId="0" applyFont="1" applyBorder="1" applyAlignment="1">
      <alignment horizontal="center" vertical="center" wrapText="1"/>
    </xf>
    <xf numFmtId="0" fontId="42" fillId="0" borderId="4" xfId="0" applyFont="1" applyBorder="1" applyAlignment="1">
      <alignment horizontal="center" vertical="center" wrapText="1"/>
    </xf>
    <xf numFmtId="0" fontId="0" fillId="0" borderId="0" xfId="0" applyAlignment="1">
      <alignment vertical="top" wrapText="1"/>
    </xf>
    <xf numFmtId="0" fontId="52" fillId="0" borderId="0" xfId="0" applyFont="1" applyAlignment="1">
      <alignment vertical="top" wrapText="1"/>
    </xf>
    <xf numFmtId="0" fontId="55" fillId="0" borderId="0" xfId="0" applyFont="1" applyAlignment="1">
      <alignment vertical="top" wrapText="1"/>
    </xf>
    <xf numFmtId="0" fontId="52" fillId="0" borderId="9" xfId="0" applyFont="1" applyBorder="1" applyAlignment="1">
      <alignment vertical="top" wrapText="1"/>
    </xf>
    <xf numFmtId="49" fontId="55" fillId="0" borderId="0" xfId="0" applyNumberFormat="1" applyFont="1" applyAlignment="1">
      <alignment horizontal="left" vertical="top" wrapText="1"/>
    </xf>
    <xf numFmtId="49" fontId="55" fillId="0" borderId="0" xfId="0" applyNumberFormat="1" applyFont="1" applyAlignment="1">
      <alignment horizontal="right" vertical="top" wrapText="1"/>
    </xf>
    <xf numFmtId="0" fontId="52" fillId="7" borderId="0" xfId="0" applyFont="1" applyFill="1" applyAlignment="1">
      <alignment vertical="top" wrapText="1"/>
    </xf>
    <xf numFmtId="0" fontId="52" fillId="7" borderId="0" xfId="0" applyFont="1" applyFill="1" applyAlignment="1">
      <alignment vertical="top"/>
    </xf>
    <xf numFmtId="0" fontId="55" fillId="7" borderId="0" xfId="0" applyFont="1" applyFill="1" applyAlignment="1">
      <alignment horizontal="left" vertical="top" wrapText="1"/>
    </xf>
    <xf numFmtId="0" fontId="55" fillId="7" borderId="0" xfId="0" applyFont="1" applyFill="1" applyAlignment="1">
      <alignment horizontal="right" vertical="top" wrapText="1"/>
    </xf>
    <xf numFmtId="0" fontId="54" fillId="8" borderId="0" xfId="0" applyFont="1" applyFill="1" applyAlignment="1">
      <alignment vertical="top" wrapText="1"/>
    </xf>
    <xf numFmtId="0" fontId="52" fillId="8" borderId="0" xfId="0" applyFont="1" applyFill="1" applyAlignment="1">
      <alignment vertical="top" wrapText="1"/>
    </xf>
    <xf numFmtId="164" fontId="52" fillId="8" borderId="0" xfId="0" applyNumberFormat="1" applyFont="1" applyFill="1" applyAlignment="1">
      <alignment horizontal="right" vertical="top"/>
    </xf>
    <xf numFmtId="0" fontId="55" fillId="7" borderId="0" xfId="0" applyFont="1" applyFill="1" applyAlignment="1">
      <alignment vertical="top" wrapText="1"/>
    </xf>
    <xf numFmtId="164" fontId="52" fillId="0" borderId="0" xfId="0" applyNumberFormat="1" applyFont="1" applyAlignment="1">
      <alignment horizontal="right" vertical="top"/>
    </xf>
    <xf numFmtId="49" fontId="52" fillId="0" borderId="0" xfId="0" applyNumberFormat="1" applyFont="1" applyAlignment="1">
      <alignment horizontal="right" vertical="top"/>
    </xf>
    <xf numFmtId="164" fontId="0" fillId="0" borderId="0" xfId="0" applyNumberFormat="1" applyAlignment="1">
      <alignment horizontal="right" vertical="top"/>
    </xf>
    <xf numFmtId="0" fontId="0" fillId="0" borderId="0" xfId="0" applyAlignment="1">
      <alignment vertical="top"/>
    </xf>
    <xf numFmtId="0" fontId="0" fillId="8" borderId="0" xfId="0" applyFill="1" applyAlignment="1">
      <alignment vertical="top" wrapText="1"/>
    </xf>
    <xf numFmtId="49" fontId="55" fillId="6" borderId="0" xfId="0" applyNumberFormat="1" applyFont="1" applyFill="1" applyAlignment="1">
      <alignment horizontal="left" vertical="top" wrapText="1"/>
    </xf>
    <xf numFmtId="0" fontId="52" fillId="9" borderId="9" xfId="0" applyFont="1" applyFill="1" applyBorder="1" applyAlignment="1">
      <alignment vertical="top" wrapText="1"/>
    </xf>
    <xf numFmtId="0" fontId="52" fillId="0" borderId="0" xfId="0" applyFont="1" applyAlignment="1">
      <alignment horizontal="left" vertical="top" wrapText="1"/>
    </xf>
    <xf numFmtId="49" fontId="0" fillId="8" borderId="0" xfId="0" applyNumberFormat="1" applyFill="1" applyAlignment="1">
      <alignment horizontal="left" vertical="top" wrapText="1"/>
    </xf>
    <xf numFmtId="0" fontId="0" fillId="0" borderId="0" xfId="0" applyAlignment="1">
      <alignment horizontal="left" vertical="top" wrapText="1"/>
    </xf>
    <xf numFmtId="0" fontId="0" fillId="0" borderId="9" xfId="0" applyBorder="1" applyAlignment="1">
      <alignment horizontal="left" vertical="top"/>
    </xf>
    <xf numFmtId="0" fontId="52" fillId="7" borderId="0" xfId="0" applyFont="1" applyFill="1" applyAlignment="1">
      <alignment horizontal="left" vertical="top" wrapText="1"/>
    </xf>
    <xf numFmtId="0" fontId="52" fillId="9" borderId="9" xfId="0" applyFont="1" applyFill="1" applyBorder="1" applyAlignment="1">
      <alignment horizontal="left" vertical="top" wrapText="1"/>
    </xf>
    <xf numFmtId="0" fontId="52" fillId="0" borderId="9" xfId="0" applyFont="1" applyBorder="1" applyAlignment="1">
      <alignment horizontal="left" vertical="top" wrapText="1"/>
    </xf>
    <xf numFmtId="0" fontId="0" fillId="8" borderId="0" xfId="0" applyFill="1" applyAlignment="1">
      <alignment horizontal="left" vertical="top" wrapText="1"/>
    </xf>
    <xf numFmtId="0" fontId="0" fillId="0" borderId="9" xfId="0" applyBorder="1" applyAlignment="1">
      <alignment horizontal="left" vertical="top" wrapText="1"/>
    </xf>
    <xf numFmtId="0" fontId="55" fillId="0" borderId="0" xfId="0" applyFont="1" applyAlignment="1">
      <alignment horizontal="left" vertical="top" wrapText="1"/>
    </xf>
    <xf numFmtId="0" fontId="51" fillId="0" borderId="13" xfId="0" applyFont="1" applyBorder="1"/>
    <xf numFmtId="0" fontId="57" fillId="0" borderId="13" xfId="0" applyFont="1" applyBorder="1"/>
    <xf numFmtId="0" fontId="0" fillId="0" borderId="0" xfId="0" applyAlignment="1">
      <alignment horizontal="left" vertical="top"/>
    </xf>
    <xf numFmtId="0" fontId="10" fillId="0" borderId="0" xfId="1" applyAlignment="1">
      <alignment horizontal="left" vertical="top" wrapText="1"/>
    </xf>
    <xf numFmtId="0" fontId="45" fillId="0" borderId="3" xfId="0" applyFont="1" applyBorder="1" applyAlignment="1">
      <alignment horizontal="left"/>
    </xf>
    <xf numFmtId="14" fontId="0" fillId="0" borderId="0" xfId="0" applyNumberFormat="1"/>
    <xf numFmtId="0" fontId="0" fillId="3" borderId="0" xfId="0" applyFill="1" applyAlignment="1">
      <alignment horizontal="left" vertical="top"/>
    </xf>
    <xf numFmtId="0" fontId="46" fillId="0" borderId="10" xfId="0" applyFont="1" applyBorder="1" applyAlignment="1">
      <alignment horizontal="center"/>
    </xf>
    <xf numFmtId="0" fontId="46" fillId="0" borderId="11" xfId="0" applyFont="1" applyBorder="1" applyAlignment="1">
      <alignment horizontal="center"/>
    </xf>
    <xf numFmtId="0" fontId="46" fillId="0" borderId="12" xfId="0" applyFont="1" applyBorder="1" applyAlignment="1">
      <alignment horizontal="center"/>
    </xf>
    <xf numFmtId="0" fontId="46" fillId="0" borderId="5" xfId="0" applyFont="1" applyBorder="1" applyAlignment="1">
      <alignment horizontal="center"/>
    </xf>
    <xf numFmtId="0" fontId="46" fillId="0" borderId="6" xfId="0" applyFont="1" applyBorder="1" applyAlignment="1">
      <alignment horizontal="center"/>
    </xf>
    <xf numFmtId="0" fontId="46" fillId="0" borderId="7" xfId="0" applyFont="1" applyBorder="1" applyAlignment="1">
      <alignment horizontal="center"/>
    </xf>
    <xf numFmtId="0" fontId="50" fillId="0" borderId="0" xfId="0" applyFont="1" applyAlignment="1">
      <alignment horizontal="left"/>
    </xf>
  </cellXfs>
  <cellStyles count="2">
    <cellStyle name="Hyperlink" xfId="1" builtinId="8"/>
    <cellStyle name="Normal" xfId="0" builtinId="0"/>
  </cellStyles>
  <dxfs count="73">
    <dxf>
      <font>
        <b val="0"/>
        <i val="0"/>
        <strike val="0"/>
        <condense val="0"/>
        <extend val="0"/>
        <outline val="0"/>
        <shadow val="0"/>
        <u val="none"/>
        <vertAlign val="baseline"/>
        <sz val="10"/>
        <color theme="1" tint="0.249977111117893"/>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color auto="1"/>
        <name val="Calibri"/>
        <family val="2"/>
        <scheme val="minor"/>
      </font>
      <numFmt numFmtId="30" formatCode="@"/>
      <fill>
        <patternFill patternType="none">
          <bgColor auto="1"/>
        </patternFill>
      </fill>
      <alignment horizontal="right" vertical="top" textRotation="0" wrapText="1" indent="0" justifyLastLine="0" shrinkToFit="0" readingOrder="0"/>
    </dxf>
    <dxf>
      <font>
        <strike val="0"/>
        <outline val="0"/>
        <shadow val="0"/>
        <u val="none"/>
        <vertAlign val="baseline"/>
        <sz val="11"/>
        <name val="Calibri"/>
        <family val="2"/>
        <scheme val="minor"/>
      </font>
      <numFmt numFmtId="164" formatCode="000000"/>
      <fill>
        <patternFill patternType="none">
          <bgColor auto="1"/>
        </patternFill>
      </fill>
      <alignment horizontal="right" vertical="top" textRotation="0" wrapText="0"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numFmt numFmtId="30" formatCode="@"/>
      <fill>
        <patternFill patternType="none">
          <bgColor auto="1"/>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i/>
        <strike val="0"/>
        <outline val="0"/>
        <shadow val="0"/>
        <u val="none"/>
        <vertAlign val="baseline"/>
        <sz val="11"/>
        <color rgb="FF0000CC"/>
        <name val="Calibri"/>
        <family val="2"/>
        <scheme val="minor"/>
      </font>
      <alignment horizontal="general" vertical="top" textRotation="0" wrapText="1" indent="0" justifyLastLine="0" shrinkToFit="0" readingOrder="0"/>
    </dxf>
    <dxf>
      <font>
        <i/>
        <strike val="0"/>
        <outline val="0"/>
        <shadow val="0"/>
        <u val="none"/>
        <vertAlign val="baseline"/>
        <sz val="11"/>
        <color rgb="FF0000CC"/>
        <name val="Calibri"/>
        <family val="2"/>
        <scheme val="minor"/>
      </font>
      <alignment horizontal="general" vertical="top" textRotation="0" wrapText="1" indent="0" justifyLastLine="0" shrinkToFit="0" readingOrder="0"/>
    </dxf>
    <dxf>
      <font>
        <i/>
        <strike val="0"/>
        <outline val="0"/>
        <shadow val="0"/>
        <u val="none"/>
        <vertAlign val="baseline"/>
        <sz val="11"/>
        <color rgb="FF0000CC"/>
        <name val="Calibri"/>
        <family val="2"/>
        <scheme val="minor"/>
      </font>
      <alignment horizontal="general" vertical="top" textRotation="0" wrapText="1" indent="0" justifyLastLine="0" shrinkToFit="0" readingOrder="0"/>
    </dxf>
    <dxf>
      <font>
        <i/>
        <strike val="0"/>
        <outline val="0"/>
        <shadow val="0"/>
        <u val="none"/>
        <vertAlign val="baseline"/>
        <sz val="11"/>
        <color rgb="FF0000CC"/>
        <name val="Calibri"/>
        <family val="2"/>
        <scheme val="minor"/>
      </font>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numFmt numFmtId="0" formatCode="General"/>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vertical="top" textRotation="0" wrapText="1" indent="0" justifyLastLine="0" shrinkToFit="0" readingOrder="0"/>
    </dxf>
    <dxf>
      <font>
        <b/>
        <strike val="0"/>
        <outline val="0"/>
        <shadow val="0"/>
        <u val="none"/>
        <vertAlign val="baseline"/>
        <sz val="12"/>
        <color theme="1"/>
        <name val="Calibri"/>
        <family val="2"/>
        <scheme val="minor"/>
      </font>
      <fill>
        <patternFill patternType="none">
          <bgColor auto="1"/>
        </patternFill>
      </fill>
      <alignment horizontal="center" vertical="center" textRotation="0" wrapText="1" indent="0" justifyLastLine="0" shrinkToFit="0" readingOrder="0"/>
    </dxf>
    <dxf>
      <fill>
        <patternFill>
          <bgColor theme="3" tint="0.79998168889431442"/>
        </patternFill>
      </fill>
    </dxf>
    <dxf>
      <font>
        <color theme="0"/>
      </font>
      <fill>
        <patternFill>
          <bgColor rgb="FF2B5266"/>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3" xr9:uid="{ADF1043C-C4E6-4378-920F-21AEE19B725A}">
      <tableStyleElement type="wholeTable" dxfId="72"/>
      <tableStyleElement type="headerRow" dxfId="71"/>
      <tableStyleElement type="firstRowStripe" dxfId="70"/>
    </tableStyle>
  </tableStyles>
  <colors>
    <mruColors>
      <color rgb="FF0000CC"/>
      <color rgb="FF2B5266"/>
      <color rgb="FF319044"/>
      <color rgb="FF975B03"/>
      <color rgb="FFE18805"/>
      <color rgb="FFF19105"/>
      <color rgb="FFFA9C12"/>
      <color rgb="FFD5D8DD"/>
      <color rgb="FF9900FF"/>
      <color rgb="FFA3AB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82551</xdr:colOff>
      <xdr:row>0</xdr:row>
      <xdr:rowOff>238125</xdr:rowOff>
    </xdr:from>
    <xdr:to>
      <xdr:col>2</xdr:col>
      <xdr:colOff>4569760</xdr:colOff>
      <xdr:row>0</xdr:row>
      <xdr:rowOff>1246157</xdr:rowOff>
    </xdr:to>
    <xdr:pic>
      <xdr:nvPicPr>
        <xdr:cNvPr id="3" name="Picture 2" descr="CII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751" y="238125"/>
          <a:ext cx="4626909" cy="1002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6350</xdr:colOff>
      <xdr:row>2</xdr:row>
      <xdr:rowOff>1079500</xdr:rowOff>
    </xdr:to>
    <xdr:sp macro="" textlink="">
      <xdr:nvSpPr>
        <xdr:cNvPr id="3" name="TextBox 2">
          <a:extLst>
            <a:ext uri="{FF2B5EF4-FFF2-40B4-BE49-F238E27FC236}">
              <a16:creationId xmlns:a16="http://schemas.microsoft.com/office/drawing/2014/main" id="{88BFD90E-FF8C-4091-8A99-9B8156E7356C}"/>
            </a:ext>
          </a:extLst>
        </xdr:cNvPr>
        <xdr:cNvSpPr txBox="1"/>
      </xdr:nvSpPr>
      <xdr:spPr>
        <a:xfrm>
          <a:off x="177800" y="190500"/>
          <a:ext cx="4584700" cy="152400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Instructions</a:t>
          </a:r>
        </a:p>
        <a:p>
          <a:r>
            <a:rPr lang="en-US" sz="1600"/>
            <a:t>This</a:t>
          </a:r>
          <a:r>
            <a:rPr lang="en-US" sz="1600" baseline="0"/>
            <a:t> tab </a:t>
          </a:r>
          <a:r>
            <a:rPr lang="en-US" sz="1600"/>
            <a:t>describes the sections of the ETL Detail tab that need to be completed by an SEA team. Full descriptions of each column can be found on the Column Descriptions tab. </a:t>
          </a:r>
          <a:endParaRPr lang="en-US" sz="1600" i="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25400</xdr:colOff>
      <xdr:row>1</xdr:row>
      <xdr:rowOff>0</xdr:rowOff>
    </xdr:from>
    <xdr:to>
      <xdr:col>2</xdr:col>
      <xdr:colOff>12700</xdr:colOff>
      <xdr:row>4</xdr:row>
      <xdr:rowOff>101600</xdr:rowOff>
    </xdr:to>
    <xdr:sp macro="" textlink="">
      <xdr:nvSpPr>
        <xdr:cNvPr id="2" name="TextBox 1">
          <a:extLst>
            <a:ext uri="{FF2B5EF4-FFF2-40B4-BE49-F238E27FC236}">
              <a16:creationId xmlns:a16="http://schemas.microsoft.com/office/drawing/2014/main" id="{8381E09A-5646-4DC2-8F88-59C4EF97C168}"/>
            </a:ext>
          </a:extLst>
        </xdr:cNvPr>
        <xdr:cNvSpPr txBox="1"/>
      </xdr:nvSpPr>
      <xdr:spPr>
        <a:xfrm>
          <a:off x="215900" y="190500"/>
          <a:ext cx="4572000" cy="154305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Column Descriptions</a:t>
          </a:r>
        </a:p>
        <a:p>
          <a:r>
            <a:rPr lang="en-US" sz="1600"/>
            <a:t>This tab contains a description of each column in the Exiting ETL Detail tab. It also indicates whether the columns are pre-populated or need to be completed by the SEA team. </a:t>
          </a:r>
          <a:endParaRPr lang="en-US" sz="16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12700</xdr:colOff>
      <xdr:row>0</xdr:row>
      <xdr:rowOff>171450</xdr:rowOff>
    </xdr:from>
    <xdr:to>
      <xdr:col>2</xdr:col>
      <xdr:colOff>0</xdr:colOff>
      <xdr:row>6</xdr:row>
      <xdr:rowOff>317500</xdr:rowOff>
    </xdr:to>
    <xdr:sp macro="" textlink="">
      <xdr:nvSpPr>
        <xdr:cNvPr id="2" name="TextBox 1">
          <a:extLst>
            <a:ext uri="{FF2B5EF4-FFF2-40B4-BE49-F238E27FC236}">
              <a16:creationId xmlns:a16="http://schemas.microsoft.com/office/drawing/2014/main" id="{E5FDC654-8F19-EE04-D102-DFEB7945FE7F}"/>
            </a:ext>
          </a:extLst>
        </xdr:cNvPr>
        <xdr:cNvSpPr txBox="1"/>
      </xdr:nvSpPr>
      <xdr:spPr>
        <a:xfrm>
          <a:off x="203200" y="171450"/>
          <a:ext cx="4572000" cy="2559050"/>
        </a:xfrm>
        <a:prstGeom prst="roundRect">
          <a:avLst>
            <a:gd name="adj" fmla="val 5378"/>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Change Log-ETL</a:t>
          </a:r>
        </a:p>
        <a:p>
          <a:pPr algn="l"/>
          <a:r>
            <a:rPr lang="en-US" sz="1600"/>
            <a:t>Each time your SEA updates the ETL (generally annually), document information about changes. This provides an overview of changes and decisions made by your SEA team. To minimize burden on future decision making and modifications, in column F, include as much detail as possible about what was changed, what initiated the change, and why it was changed.</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171450</xdr:rowOff>
    </xdr:from>
    <xdr:to>
      <xdr:col>2</xdr:col>
      <xdr:colOff>12229</xdr:colOff>
      <xdr:row>10</xdr:row>
      <xdr:rowOff>222250</xdr:rowOff>
    </xdr:to>
    <xdr:sp macro="" textlink="">
      <xdr:nvSpPr>
        <xdr:cNvPr id="3" name="TextBox 2">
          <a:extLst>
            <a:ext uri="{FF2B5EF4-FFF2-40B4-BE49-F238E27FC236}">
              <a16:creationId xmlns:a16="http://schemas.microsoft.com/office/drawing/2014/main" id="{BD069F46-B6EA-4DC0-BA0C-DF236837A2D3}"/>
            </a:ext>
          </a:extLst>
        </xdr:cNvPr>
        <xdr:cNvSpPr txBox="1"/>
      </xdr:nvSpPr>
      <xdr:spPr>
        <a:xfrm>
          <a:off x="209550" y="171450"/>
          <a:ext cx="4571529" cy="4241800"/>
        </a:xfrm>
        <a:prstGeom prst="roundRect">
          <a:avLst>
            <a:gd name="adj" fmla="val 4727"/>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Technical Notes</a:t>
          </a:r>
        </a:p>
        <a:p>
          <a:r>
            <a:rPr lang="en-US" sz="1600"/>
            <a:t>This tab can be used to capture Technical Notes on state specific data nuances, additional business rules, and workarounds necessary. Keep a record of issues or lessons learned to prevent repetition of work or data errors.</a:t>
          </a:r>
          <a:br>
            <a:rPr lang="en-US" sz="1600"/>
          </a:br>
          <a:br>
            <a:rPr lang="en-US" sz="1600"/>
          </a:br>
          <a:r>
            <a:rPr lang="en-US" sz="1600" i="1"/>
            <a:t>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T42" totalsRowShown="0" headerRowDxfId="69" dataDxfId="68" headerRowCellStyle="Normal" dataCellStyle="Normal">
  <autoFilter ref="A3:AT42" xr:uid="{00000000-000C-0000-FFFF-FFFF00000000}"/>
  <tableColumns count="46">
    <tableColumn id="1" xr3:uid="{00000000-0010-0000-0000-000001000000}" name="Source Common Name" dataDxfId="67" dataCellStyle="Normal"/>
    <tableColumn id="3" xr3:uid="{00000000-0010-0000-0000-000003000000}" name="Source Database Name" dataDxfId="66" dataCellStyle="Normal"/>
    <tableColumn id="29" xr3:uid="{53A6A2D4-6E3F-4162-9947-C33D4E64E4F7}" name="Source Schema name" dataDxfId="65" dataCellStyle="Normal"/>
    <tableColumn id="4" xr3:uid="{00000000-0010-0000-0000-000004000000}" name="Source Table Name" dataDxfId="64" dataCellStyle="Normal"/>
    <tableColumn id="5" xr3:uid="{00000000-0010-0000-0000-000005000000}" name="Source Column Name" dataDxfId="63" dataCellStyle="Normal"/>
    <tableColumn id="6" xr3:uid="{00000000-0010-0000-0000-000006000000}" name="Source Element Name" dataDxfId="62" dataCellStyle="Normal">
      <calculatedColumnFormula>Table1[[#This Row],[CEDS Element Name]]</calculatedColumnFormula>
    </tableColumn>
    <tableColumn id="7" xr3:uid="{00000000-0010-0000-0000-000007000000}" name="Source Element Definition" dataDxfId="61" dataCellStyle="Normal"/>
    <tableColumn id="8" xr3:uid="{00000000-0010-0000-0000-000008000000}" name="Source Data Type" dataDxfId="60" dataCellStyle="Normal"/>
    <tableColumn id="20" xr3:uid="{8B7AC2F9-CFC0-4F1E-8B1B-AE81203599AC}" name="Source Data Length" dataDxfId="59" dataCellStyle="Normal"/>
    <tableColumn id="9" xr3:uid="{00000000-0010-0000-0000-000009000000}" name="Source Option Set Code" dataDxfId="58" dataCellStyle="Normal"/>
    <tableColumn id="10" xr3:uid="{00000000-0010-0000-0000-00000A000000}" name="Source Option Set Description" dataDxfId="57" dataCellStyle="Normal"/>
    <tableColumn id="11" xr3:uid="{00000000-0010-0000-0000-00000B000000}" name="Source Data Steward" dataDxfId="56" dataCellStyle="Normal"/>
    <tableColumn id="49" xr3:uid="{C5E4B568-12EA-4E3A-8CE0-E5AB5F4063AD}" name="Curated Zone Dimension Table Name" dataDxfId="55"/>
    <tableColumn id="50" xr3:uid="{76686397-6F0B-4B35-98F8-94CE63C175FA}" name="Curated Zone Dimension Column Name" dataDxfId="54"/>
    <tableColumn id="51" xr3:uid="{636BF4D4-6757-4730-8DD9-270DE68E0F77}" name="Curated Zone Fact Table Name" dataDxfId="53"/>
    <tableColumn id="52" xr3:uid="{18D054F3-7953-4327-969A-55EEFD165A7A}" name="Curated Zone Fact Column Name" dataDxfId="52"/>
    <tableColumn id="12" xr3:uid="{00000000-0010-0000-0000-00000C000000}" name="Selection Criteria" dataDxfId="51" dataCellStyle="Normal"/>
    <tableColumn id="13" xr3:uid="{00000000-0010-0000-0000-00000D000000}" name="Transformation Rules" dataDxfId="50" dataCellStyle="Normal"/>
    <tableColumn id="14" xr3:uid="{00000000-0010-0000-0000-00000E000000}" name="Notes" dataDxfId="49" dataCellStyle="Normal"/>
    <tableColumn id="30" xr3:uid="{8C1FDD04-3D39-4982-A045-C04051208D59}" name="EDFacts File Spec Number(s)" dataDxfId="48" totalsRowDxfId="47" dataCellStyle="Normal"/>
    <tableColumn id="31" xr3:uid="{C8363A96-4B9F-4A3F-AB33-5E400641DCAB}" name="CEDS Path" dataDxfId="46" totalsRowDxfId="45" dataCellStyle="Normal"/>
    <tableColumn id="36" xr3:uid="{5602B6E0-14D9-48A6-82B3-F996A1D16961}" name="CEDS Element Name" dataDxfId="44" totalsRowDxfId="43" dataCellStyle="Normal"/>
    <tableColumn id="35" xr3:uid="{9914F9DF-481E-406E-ABAD-0884BD4BC400}" name="CEDS Element Definition" dataDxfId="42" dataCellStyle="Normal"/>
    <tableColumn id="34" xr3:uid="{883CC262-D96F-4DF6-8B00-DBDF2BCEFB69}" name="CEDS Data Type" dataDxfId="41" totalsRowDxfId="40" dataCellStyle="Normal"/>
    <tableColumn id="22" xr3:uid="{ED9FE72F-953A-4731-8039-2A0E8812C1E8}" name="CEDS Data Length" dataDxfId="39" totalsRowDxfId="38" dataCellStyle="Normal"/>
    <tableColumn id="33" xr3:uid="{5C3D7CD8-D305-4DF2-ADB6-B6C939EAACDF}" name="CEDS Option Set Code" dataDxfId="37" dataCellStyle="Normal"/>
    <tableColumn id="32" xr3:uid="{5C5806A8-7C65-49F2-B4CE-28B2D5202FF9}" name="CEDS Option Set Description" dataDxfId="36" dataCellStyle="Normal"/>
    <tableColumn id="23" xr3:uid="{888DF355-E475-467E-8C45-FA519315C0D4}" name="CEDS Element Global ID" dataDxfId="35" dataCellStyle="Normal"/>
    <tableColumn id="39" xr3:uid="{D9774F0C-C961-490E-A86A-2A8194F43B7C}" name="CEDS Element Data Model ID" dataDxfId="34" dataCellStyle="Normal"/>
    <tableColumn id="38" xr3:uid="{425BA415-269A-48C3-B036-577A14775553}" name="Element Definition Response ID" dataDxfId="33" totalsRowDxfId="32" dataCellStyle="Normal"/>
    <tableColumn id="37" xr3:uid="{6EFD73CB-D547-4523-84C7-34B3321CE2CB}" name="Option Set Response ID" dataDxfId="31" totalsRowDxfId="30" dataCellStyle="Normal"/>
    <tableColumn id="15" xr3:uid="{00000000-0010-0000-0000-00000F000000}" name="Destination Common Name" dataDxfId="29" totalsRowDxfId="28" dataCellStyle="Normal"/>
    <tableColumn id="16" xr3:uid="{00000000-0010-0000-0000-000010000000}" name="Destination Technical Name" dataDxfId="27" totalsRowDxfId="26" dataCellStyle="Normal"/>
    <tableColumn id="17" xr3:uid="{00000000-0010-0000-0000-000011000000}" name="Destination Database Name" dataDxfId="25" totalsRowDxfId="24" dataCellStyle="Normal"/>
    <tableColumn id="41" xr3:uid="{11FD82DA-54D8-4A32-94CF-EF89944B8249}" name="Destination Staging Table Name" dataDxfId="23" totalsRowDxfId="22" dataCellStyle="Normal"/>
    <tableColumn id="40" xr3:uid="{A0695769-D291-47EA-95A0-D43125F8B5AE}" name="Destination Staging Column Name" dataDxfId="21" totalsRowDxfId="20" dataCellStyle="Normal"/>
    <tableColumn id="47" xr3:uid="{23DD0B4C-6A36-419D-8353-DB1F248D89B5}" name="Destination RDS Dimension Table Name" dataDxfId="19" totalsRowDxfId="18" dataCellStyle="Normal"/>
    <tableColumn id="46" xr3:uid="{422901C2-0775-4B55-A3A2-AD49C7A26B7E}" name="Destination RDS Dimension Column Name" dataDxfId="17" totalsRowDxfId="16" dataCellStyle="Normal"/>
    <tableColumn id="45" xr3:uid="{A5F95813-26DB-4C0F-9A52-DF44326A4A13}" name="Destination RDS Fact Table Name" dataDxfId="15" totalsRowDxfId="14" dataCellStyle="Normal"/>
    <tableColumn id="44" xr3:uid="{C994E372-97A6-492E-9B25-6DC29A40BF27}" name="Destination RDS Fact Column Name" dataDxfId="13" totalsRowDxfId="12" dataCellStyle="Normal"/>
    <tableColumn id="43" xr3:uid="{B7EBA0F6-A274-45B0-A88E-5C20D3505208}" name="Destination RDS Report Table Name" dataDxfId="11" totalsRowDxfId="10" dataCellStyle="Normal"/>
    <tableColumn id="42" xr3:uid="{9EA2E7B3-ACFE-416E-9F41-0850802E4315}" name="Destination RDS Report Column Name" dataDxfId="9" totalsRowDxfId="8" dataCellStyle="Normal"/>
    <tableColumn id="25" xr3:uid="{00000000-0010-0000-0000-000019000000}" name="Destination Data Steward" dataDxfId="7" totalsRowDxfId="6" dataCellStyle="Normal"/>
    <tableColumn id="26" xr3:uid="{00000000-0010-0000-0000-00001A000000}" name="Timing/Scheduling" dataDxfId="5" totalsRowDxfId="4" dataCellStyle="Normal"/>
    <tableColumn id="27" xr3:uid="{00000000-0010-0000-0000-00001B000000}" name="Validation Process" dataDxfId="3" totalsRowDxfId="2" dataCellStyle="Normal"/>
    <tableColumn id="28" xr3:uid="{00000000-0010-0000-0000-00001C000000}" name="Notification Process" dataDxfId="1" totalsRowDxfId="0" dataCellStyle="Norma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D67A-8743-4865-AB58-FCD51CC0F84A}">
  <dimension ref="A1:D3"/>
  <sheetViews>
    <sheetView workbookViewId="0">
      <selection activeCell="A2" sqref="A2:D3"/>
    </sheetView>
  </sheetViews>
  <sheetFormatPr defaultColWidth="38.33203125" defaultRowHeight="14.4" x14ac:dyDescent="0.3"/>
  <sheetData>
    <row r="1" spans="1:4" ht="21" x14ac:dyDescent="0.4">
      <c r="A1" s="64" t="s">
        <v>0</v>
      </c>
      <c r="B1" s="64" t="s">
        <v>1</v>
      </c>
      <c r="C1" s="64" t="s">
        <v>393</v>
      </c>
      <c r="D1" s="64" t="s">
        <v>2</v>
      </c>
    </row>
    <row r="2" spans="1:4" x14ac:dyDescent="0.3">
      <c r="D2" s="111"/>
    </row>
    <row r="3" spans="1:4" x14ac:dyDescent="0.3">
      <c r="D3" s="1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42BE-E8D9-44A9-ACD1-F401E4EC4075}">
  <sheetPr codeName="Sheet2">
    <tabColor rgb="FF2B5266"/>
    <pageSetUpPr fitToPage="1"/>
  </sheetPr>
  <dimension ref="A1:I17"/>
  <sheetViews>
    <sheetView zoomScaleNormal="100" workbookViewId="0">
      <selection sqref="A1:XFD1"/>
    </sheetView>
  </sheetViews>
  <sheetFormatPr defaultColWidth="9.109375" defaultRowHeight="14.4" x14ac:dyDescent="0.3"/>
  <cols>
    <col min="1" max="1" width="4.6640625" style="3" customWidth="1"/>
    <col min="2" max="2" width="2" style="28" customWidth="1"/>
    <col min="3" max="3" width="229.109375" style="3" customWidth="1"/>
    <col min="4" max="4" width="3.5546875" style="3" customWidth="1"/>
    <col min="5" max="5" width="3.44140625" style="3" customWidth="1"/>
    <col min="6" max="16384" width="9.109375" style="3"/>
  </cols>
  <sheetData>
    <row r="1" spans="1:9" ht="120.6" customHeight="1" x14ac:dyDescent="0.3">
      <c r="A1" s="7"/>
      <c r="B1" s="3"/>
    </row>
    <row r="2" spans="1:9" ht="33.9" customHeight="1" x14ac:dyDescent="0.3">
      <c r="A2" s="13"/>
      <c r="B2" s="26" t="s">
        <v>3</v>
      </c>
      <c r="C2" s="24"/>
    </row>
    <row r="3" spans="1:9" s="4" customFormat="1" ht="23.4" x14ac:dyDescent="0.3">
      <c r="A3" s="8"/>
      <c r="B3" s="23" t="s">
        <v>4</v>
      </c>
      <c r="C3" s="15"/>
    </row>
    <row r="4" spans="1:9" s="4" customFormat="1" ht="23.4" x14ac:dyDescent="0.3">
      <c r="A4" s="8"/>
      <c r="B4" s="23"/>
      <c r="C4" s="15"/>
    </row>
    <row r="5" spans="1:9" s="5" customFormat="1" ht="21" x14ac:dyDescent="0.3">
      <c r="B5" s="20" t="s">
        <v>5</v>
      </c>
      <c r="C5" s="17"/>
      <c r="D5" s="7"/>
      <c r="I5" s="12"/>
    </row>
    <row r="6" spans="1:9" s="6" customFormat="1" ht="42" x14ac:dyDescent="0.3">
      <c r="B6" s="29" t="s">
        <v>6</v>
      </c>
      <c r="C6" s="18" t="s">
        <v>7</v>
      </c>
    </row>
    <row r="7" spans="1:9" s="5" customFormat="1" ht="21" x14ac:dyDescent="0.3">
      <c r="B7" s="27"/>
      <c r="C7" s="18"/>
    </row>
    <row r="8" spans="1:9" s="11" customFormat="1" ht="21" x14ac:dyDescent="0.3">
      <c r="B8" s="21" t="s">
        <v>8</v>
      </c>
      <c r="C8" s="19"/>
    </row>
    <row r="9" spans="1:9" s="6" customFormat="1" ht="24.9" customHeight="1" x14ac:dyDescent="0.3">
      <c r="B9" s="29" t="s">
        <v>6</v>
      </c>
      <c r="C9" s="22" t="s">
        <v>9</v>
      </c>
      <c r="I9" s="25"/>
    </row>
    <row r="10" spans="1:9" s="6" customFormat="1" ht="24.9" customHeight="1" x14ac:dyDescent="0.3">
      <c r="B10" s="29" t="s">
        <v>6</v>
      </c>
      <c r="C10" s="22" t="s">
        <v>10</v>
      </c>
      <c r="I10" s="25"/>
    </row>
    <row r="11" spans="1:9" s="6" customFormat="1" ht="24.9" customHeight="1" x14ac:dyDescent="0.3">
      <c r="B11" s="29" t="s">
        <v>6</v>
      </c>
      <c r="C11" s="22" t="s">
        <v>11</v>
      </c>
    </row>
    <row r="12" spans="1:9" s="6" customFormat="1" ht="24.9" customHeight="1" x14ac:dyDescent="0.3">
      <c r="B12" s="29" t="s">
        <v>6</v>
      </c>
      <c r="C12" s="18" t="s">
        <v>12</v>
      </c>
    </row>
    <row r="13" spans="1:9" s="6" customFormat="1" ht="24.9" customHeight="1" x14ac:dyDescent="0.3">
      <c r="B13" s="29" t="s">
        <v>6</v>
      </c>
      <c r="C13" s="18" t="s">
        <v>13</v>
      </c>
    </row>
    <row r="14" spans="1:9" s="5" customFormat="1" ht="21" x14ac:dyDescent="0.3">
      <c r="B14" s="27"/>
      <c r="C14" s="18"/>
    </row>
    <row r="15" spans="1:9" s="11" customFormat="1" ht="21" x14ac:dyDescent="0.3">
      <c r="B15" s="21" t="s">
        <v>14</v>
      </c>
      <c r="C15" s="19"/>
    </row>
    <row r="16" spans="1:9" s="6" customFormat="1" ht="47.4" customHeight="1" x14ac:dyDescent="0.3">
      <c r="B16" s="29" t="s">
        <v>6</v>
      </c>
      <c r="C16" s="18" t="s">
        <v>15</v>
      </c>
    </row>
    <row r="17" spans="2:3" s="6" customFormat="1" ht="63" customHeight="1" x14ac:dyDescent="0.3">
      <c r="B17" s="29" t="s">
        <v>6</v>
      </c>
      <c r="C17" s="22" t="s">
        <v>16</v>
      </c>
    </row>
  </sheetData>
  <pageMargins left="0.25" right="0.25" top="0.75" bottom="0.75" header="0.3" footer="0.3"/>
  <pageSetup scale="7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2621-586B-44B7-ABDD-095FC5957510}">
  <sheetPr codeName="Sheet1">
    <tabColor rgb="FFA3ABB7"/>
    <pageSetUpPr fitToPage="1"/>
  </sheetPr>
  <dimension ref="A1:L6"/>
  <sheetViews>
    <sheetView zoomScale="70" zoomScaleNormal="70" zoomScaleSheetLayoutView="100" workbookViewId="0">
      <selection activeCell="E3" sqref="E3"/>
    </sheetView>
  </sheetViews>
  <sheetFormatPr defaultColWidth="9.109375" defaultRowHeight="14.4" x14ac:dyDescent="0.3"/>
  <cols>
    <col min="1" max="1" width="2.6640625" style="1" customWidth="1"/>
    <col min="2" max="2" width="65.5546875" style="2" customWidth="1"/>
    <col min="3" max="3" width="2.88671875" style="2" customWidth="1"/>
    <col min="4" max="4" width="68" style="2" customWidth="1"/>
    <col min="5" max="5" width="136" style="1" customWidth="1"/>
    <col min="6" max="16384" width="9.109375" style="1"/>
  </cols>
  <sheetData>
    <row r="1" spans="1:12" s="3" customFormat="1" ht="15" customHeight="1" x14ac:dyDescent="0.3">
      <c r="A1" s="55"/>
      <c r="B1" s="112"/>
      <c r="C1" s="112"/>
      <c r="D1" s="112"/>
    </row>
    <row r="2" spans="1:12" s="9" customFormat="1" ht="35.1" customHeight="1" x14ac:dyDescent="0.3">
      <c r="D2" s="58" t="s">
        <v>17</v>
      </c>
      <c r="E2" s="58" t="s">
        <v>18</v>
      </c>
      <c r="F2" s="10"/>
      <c r="G2" s="10"/>
      <c r="H2" s="10"/>
      <c r="I2" s="10"/>
      <c r="J2" s="10"/>
      <c r="K2" s="10"/>
      <c r="L2" s="10"/>
    </row>
    <row r="3" spans="1:12" s="9" customFormat="1" ht="409.6" x14ac:dyDescent="0.3">
      <c r="D3" s="47" t="s">
        <v>19</v>
      </c>
      <c r="E3" s="41" t="s">
        <v>20</v>
      </c>
      <c r="F3" s="10"/>
      <c r="G3" s="10"/>
      <c r="H3" s="10"/>
      <c r="I3" s="10"/>
      <c r="J3" s="10"/>
      <c r="K3" s="10"/>
      <c r="L3" s="10"/>
    </row>
    <row r="4" spans="1:12" s="9" customFormat="1" ht="360" x14ac:dyDescent="0.3">
      <c r="D4" s="47" t="s">
        <v>21</v>
      </c>
      <c r="E4" s="41" t="s">
        <v>22</v>
      </c>
    </row>
    <row r="5" spans="1:12" s="9" customFormat="1" ht="144" x14ac:dyDescent="0.3">
      <c r="D5" s="38" t="s">
        <v>23</v>
      </c>
      <c r="E5" s="41" t="s">
        <v>24</v>
      </c>
    </row>
    <row r="6" spans="1:12" s="9" customFormat="1" ht="90" x14ac:dyDescent="0.3">
      <c r="D6" s="47" t="s">
        <v>25</v>
      </c>
      <c r="E6" s="41" t="s">
        <v>26</v>
      </c>
    </row>
  </sheetData>
  <mergeCells count="1">
    <mergeCell ref="B1:D1"/>
  </mergeCells>
  <pageMargins left="0.25" right="0.25" top="0.75" bottom="0.75" header="0.3" footer="0.3"/>
  <pageSetup scale="6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T54"/>
  <sheetViews>
    <sheetView showGridLines="0" tabSelected="1" zoomScale="55" zoomScaleNormal="55" zoomScaleSheetLayoutView="100" workbookViewId="0">
      <pane ySplit="3" topLeftCell="A4" activePane="bottomLeft" state="frozen"/>
      <selection pane="bottomLeft"/>
    </sheetView>
  </sheetViews>
  <sheetFormatPr defaultColWidth="9.109375" defaultRowHeight="14.4" x14ac:dyDescent="0.3"/>
  <cols>
    <col min="1" max="1" width="28.88671875" bestFit="1" customWidth="1"/>
    <col min="2" max="2" width="29.109375" bestFit="1" customWidth="1"/>
    <col min="3" max="3" width="27.44140625" bestFit="1" customWidth="1"/>
    <col min="4" max="4" width="36.88671875" bestFit="1" customWidth="1"/>
    <col min="5" max="5" width="47.5546875" bestFit="1" customWidth="1"/>
    <col min="6" max="6" width="35.44140625" bestFit="1" customWidth="1"/>
    <col min="7" max="7" width="115.88671875" customWidth="1"/>
    <col min="8" max="8" width="24" customWidth="1"/>
    <col min="9" max="9" width="25.88671875" customWidth="1"/>
    <col min="10" max="10" width="35.44140625" customWidth="1"/>
    <col min="11" max="11" width="36" customWidth="1"/>
    <col min="12" max="12" width="27.33203125" customWidth="1"/>
    <col min="13" max="13" width="42.33203125" customWidth="1"/>
    <col min="14" max="14" width="44.44140625" customWidth="1"/>
    <col min="15" max="15" width="36.109375" customWidth="1"/>
    <col min="16" max="16" width="38.109375" customWidth="1"/>
    <col min="17" max="17" width="23.109375" style="65" customWidth="1"/>
    <col min="18" max="18" width="27.6640625" style="65" customWidth="1"/>
    <col min="19" max="19" width="99.44140625" style="65" customWidth="1"/>
    <col min="20" max="20" width="33.88671875" style="65" customWidth="1"/>
    <col min="21" max="21" width="45.33203125" style="65" customWidth="1"/>
    <col min="22" max="22" width="54.33203125" style="65" customWidth="1"/>
    <col min="23" max="23" width="153.5546875" style="65" customWidth="1"/>
    <col min="24" max="24" width="22.33203125" style="65" customWidth="1"/>
    <col min="25" max="25" width="24.109375" style="65" customWidth="1"/>
    <col min="26" max="26" width="28.109375" style="65" bestFit="1" customWidth="1"/>
    <col min="27" max="27" width="34" style="65" bestFit="1" customWidth="1"/>
    <col min="28" max="28" width="29.44140625" style="66" bestFit="1" customWidth="1"/>
    <col min="29" max="29" width="34.5546875" style="66" bestFit="1" customWidth="1"/>
    <col min="30" max="30" width="37.109375" style="65" customWidth="1"/>
    <col min="31" max="31" width="29.88671875" style="65" customWidth="1"/>
    <col min="32" max="32" width="33.33203125" style="65" customWidth="1"/>
    <col min="33" max="33" width="33.5546875" style="65" customWidth="1"/>
    <col min="34" max="34" width="33.88671875" style="65" customWidth="1"/>
    <col min="35" max="35" width="45.109375" style="65" customWidth="1"/>
    <col min="36" max="36" width="34.44140625" style="65" customWidth="1"/>
    <col min="37" max="37" width="44.88671875" style="65" bestFit="1" customWidth="1"/>
    <col min="38" max="38" width="47" style="65" bestFit="1" customWidth="1"/>
    <col min="39" max="39" width="38.5546875" style="65" bestFit="1" customWidth="1"/>
    <col min="40" max="40" width="54.6640625" style="65" customWidth="1"/>
    <col min="41" max="41" width="56.77734375" style="65" customWidth="1"/>
    <col min="42" max="42" width="43.5546875" style="65" bestFit="1" customWidth="1"/>
    <col min="43" max="43" width="31.6640625" style="65" bestFit="1" customWidth="1"/>
    <col min="44" max="44" width="24.88671875" style="65" bestFit="1" customWidth="1"/>
    <col min="45" max="45" width="24.5546875" style="65" bestFit="1" customWidth="1"/>
    <col min="46" max="46" width="26.109375" style="65" bestFit="1" customWidth="1"/>
    <col min="47" max="16384" width="9.109375" style="65"/>
  </cols>
  <sheetData>
    <row r="1" spans="1:46" ht="29.4" thickBot="1" x14ac:dyDescent="0.6">
      <c r="A1" s="110" t="s">
        <v>392</v>
      </c>
      <c r="B1" s="110"/>
      <c r="C1" s="110"/>
      <c r="D1" s="110"/>
      <c r="Q1"/>
      <c r="R1"/>
      <c r="S1"/>
      <c r="T1"/>
      <c r="AB1" s="65"/>
      <c r="AC1" s="65"/>
      <c r="AF1" s="66"/>
      <c r="AG1" s="66"/>
    </row>
    <row r="2" spans="1:46" ht="19.2" thickTop="1" thickBot="1" x14ac:dyDescent="0.4">
      <c r="A2" s="116" t="s">
        <v>151</v>
      </c>
      <c r="B2" s="117"/>
      <c r="C2" s="117"/>
      <c r="D2" s="117"/>
      <c r="E2" s="117"/>
      <c r="F2" s="117"/>
      <c r="G2" s="117"/>
      <c r="H2" s="117"/>
      <c r="I2" s="117"/>
      <c r="J2" s="117"/>
      <c r="K2" s="117"/>
      <c r="L2" s="118"/>
      <c r="M2" s="116" t="s">
        <v>152</v>
      </c>
      <c r="N2" s="117"/>
      <c r="O2" s="117"/>
      <c r="P2" s="118"/>
      <c r="Q2" s="116" t="s">
        <v>153</v>
      </c>
      <c r="R2" s="117"/>
      <c r="S2" s="118"/>
      <c r="T2" s="67" t="s">
        <v>154</v>
      </c>
      <c r="U2" s="116" t="s">
        <v>155</v>
      </c>
      <c r="V2" s="117"/>
      <c r="W2" s="117"/>
      <c r="X2" s="117"/>
      <c r="Y2" s="117"/>
      <c r="Z2" s="117"/>
      <c r="AA2" s="117"/>
      <c r="AB2" s="117" t="s">
        <v>156</v>
      </c>
      <c r="AC2" s="117"/>
      <c r="AD2" s="117"/>
      <c r="AE2" s="118"/>
      <c r="AF2" s="116" t="s">
        <v>157</v>
      </c>
      <c r="AG2" s="117"/>
      <c r="AH2" s="118"/>
      <c r="AI2" s="116" t="s">
        <v>158</v>
      </c>
      <c r="AJ2" s="117"/>
      <c r="AK2" s="113" t="s">
        <v>159</v>
      </c>
      <c r="AL2" s="114"/>
      <c r="AM2" s="114"/>
      <c r="AN2" s="115"/>
      <c r="AO2" s="113" t="s">
        <v>160</v>
      </c>
      <c r="AP2" s="115"/>
      <c r="AQ2" s="113" t="s">
        <v>161</v>
      </c>
      <c r="AR2" s="114"/>
      <c r="AS2" s="114"/>
      <c r="AT2" s="115"/>
    </row>
    <row r="3" spans="1:46" s="68" customFormat="1" ht="16.2" thickTop="1" x14ac:dyDescent="0.3">
      <c r="A3" s="70" t="s">
        <v>162</v>
      </c>
      <c r="B3" s="68" t="s">
        <v>49</v>
      </c>
      <c r="C3" s="70" t="s">
        <v>163</v>
      </c>
      <c r="D3" s="70" t="s">
        <v>55</v>
      </c>
      <c r="E3" s="70" t="s">
        <v>58</v>
      </c>
      <c r="F3" s="70" t="s">
        <v>60</v>
      </c>
      <c r="G3" s="70" t="s">
        <v>63</v>
      </c>
      <c r="H3" s="70" t="s">
        <v>66</v>
      </c>
      <c r="I3" s="70" t="s">
        <v>69</v>
      </c>
      <c r="J3" s="70" t="s">
        <v>72</v>
      </c>
      <c r="K3" s="70" t="s">
        <v>75</v>
      </c>
      <c r="L3" s="71" t="s">
        <v>78</v>
      </c>
      <c r="M3" s="68" t="s">
        <v>164</v>
      </c>
      <c r="N3" s="68" t="s">
        <v>165</v>
      </c>
      <c r="O3" s="68" t="s">
        <v>166</v>
      </c>
      <c r="P3" s="68" t="s">
        <v>167</v>
      </c>
      <c r="Q3" s="68" t="s">
        <v>82</v>
      </c>
      <c r="R3" s="68" t="s">
        <v>84</v>
      </c>
      <c r="S3" s="72" t="s">
        <v>86</v>
      </c>
      <c r="T3" s="73" t="s">
        <v>168</v>
      </c>
      <c r="U3" s="68" t="s">
        <v>94</v>
      </c>
      <c r="V3" s="68" t="s">
        <v>96</v>
      </c>
      <c r="W3" s="68" t="s">
        <v>98</v>
      </c>
      <c r="X3" s="68" t="s">
        <v>100</v>
      </c>
      <c r="Y3" s="68" t="s">
        <v>102</v>
      </c>
      <c r="Z3" s="68" t="s">
        <v>104</v>
      </c>
      <c r="AA3" s="68" t="s">
        <v>106</v>
      </c>
      <c r="AB3" s="69" t="s">
        <v>108</v>
      </c>
      <c r="AC3" s="68" t="s">
        <v>111</v>
      </c>
      <c r="AD3" s="68" t="s">
        <v>113</v>
      </c>
      <c r="AE3" s="69" t="s">
        <v>116</v>
      </c>
      <c r="AF3" s="68" t="s">
        <v>119</v>
      </c>
      <c r="AG3" s="68" t="s">
        <v>121</v>
      </c>
      <c r="AH3" s="74" t="s">
        <v>122</v>
      </c>
      <c r="AI3" s="68" t="s">
        <v>125</v>
      </c>
      <c r="AJ3" s="74" t="s">
        <v>127</v>
      </c>
      <c r="AK3" s="68" t="s">
        <v>130</v>
      </c>
      <c r="AL3" s="68" t="s">
        <v>132</v>
      </c>
      <c r="AM3" s="68" t="s">
        <v>134</v>
      </c>
      <c r="AN3" s="68" t="s">
        <v>136</v>
      </c>
      <c r="AO3" s="68" t="s">
        <v>138</v>
      </c>
      <c r="AP3" s="69" t="s">
        <v>140</v>
      </c>
      <c r="AQ3" s="68" t="s">
        <v>143</v>
      </c>
      <c r="AR3" s="68" t="s">
        <v>145</v>
      </c>
      <c r="AS3" s="68" t="s">
        <v>147</v>
      </c>
      <c r="AT3" s="68" t="s">
        <v>149</v>
      </c>
    </row>
    <row r="4" spans="1:46" s="68" customFormat="1" ht="15.6" customHeight="1" x14ac:dyDescent="0.3">
      <c r="A4" s="81"/>
      <c r="B4" s="81" t="s">
        <v>371</v>
      </c>
      <c r="C4" s="75" t="s">
        <v>308</v>
      </c>
      <c r="D4" s="75" t="s">
        <v>307</v>
      </c>
      <c r="E4" s="81" t="s">
        <v>310</v>
      </c>
      <c r="F4" s="81" t="str">
        <f>Table1[[#This Row],[CEDS Element Name]]</f>
        <v>Local Education Agency Identifier</v>
      </c>
      <c r="G4" s="81" t="s">
        <v>169</v>
      </c>
      <c r="H4" s="81"/>
      <c r="I4" s="81"/>
      <c r="J4" s="100"/>
      <c r="K4" s="100"/>
      <c r="L4" s="81" t="s">
        <v>170</v>
      </c>
      <c r="M4" s="105" t="s">
        <v>171</v>
      </c>
      <c r="N4" s="105" t="s">
        <v>172</v>
      </c>
      <c r="O4" s="105" t="s">
        <v>173</v>
      </c>
      <c r="P4" s="105" t="s">
        <v>174</v>
      </c>
      <c r="Q4" s="81"/>
      <c r="R4" s="81"/>
      <c r="S4" s="81" t="s">
        <v>175</v>
      </c>
      <c r="T4" s="96" t="s">
        <v>176</v>
      </c>
      <c r="U4" s="82" t="s">
        <v>177</v>
      </c>
      <c r="V4" s="82" t="s">
        <v>178</v>
      </c>
      <c r="W4" s="81" t="s">
        <v>169</v>
      </c>
      <c r="X4" s="81" t="s">
        <v>179</v>
      </c>
      <c r="Y4" s="81" t="s">
        <v>180</v>
      </c>
      <c r="Z4" s="81"/>
      <c r="AA4" s="81"/>
      <c r="AB4" s="91">
        <v>1068</v>
      </c>
      <c r="AC4" s="84">
        <v>65594</v>
      </c>
      <c r="AD4" s="81"/>
      <c r="AE4" s="81"/>
      <c r="AF4" s="81" t="s">
        <v>181</v>
      </c>
      <c r="AG4" s="81" t="s">
        <v>181</v>
      </c>
      <c r="AH4" s="81" t="s">
        <v>181</v>
      </c>
      <c r="AI4" s="75" t="s">
        <v>182</v>
      </c>
      <c r="AJ4" s="81" t="s">
        <v>172</v>
      </c>
      <c r="AK4" s="83" t="s">
        <v>171</v>
      </c>
      <c r="AL4" s="83" t="s">
        <v>172</v>
      </c>
      <c r="AM4" s="83" t="s">
        <v>173</v>
      </c>
      <c r="AN4" s="88" t="s">
        <v>174</v>
      </c>
      <c r="AO4" s="81" t="s">
        <v>183</v>
      </c>
      <c r="AP4" s="81" t="s">
        <v>184</v>
      </c>
      <c r="AQ4" s="75"/>
      <c r="AR4" s="75"/>
      <c r="AS4" s="75"/>
      <c r="AT4" s="75"/>
    </row>
    <row r="5" spans="1:46" s="75" customFormat="1" ht="28.8" x14ac:dyDescent="0.3">
      <c r="B5" s="75" t="s">
        <v>371</v>
      </c>
      <c r="C5" s="75" t="s">
        <v>308</v>
      </c>
      <c r="D5" s="75" t="s">
        <v>307</v>
      </c>
      <c r="E5" s="75" t="s">
        <v>311</v>
      </c>
      <c r="F5" s="75" t="str">
        <f>Table1[[#This Row],[CEDS Element Name]]</f>
        <v>School Identifier</v>
      </c>
      <c r="G5" s="75" t="s">
        <v>185</v>
      </c>
      <c r="J5" s="98"/>
      <c r="K5" s="98"/>
      <c r="L5" s="75" t="s">
        <v>170</v>
      </c>
      <c r="M5" s="105" t="s">
        <v>186</v>
      </c>
      <c r="N5" s="105" t="s">
        <v>187</v>
      </c>
      <c r="O5" s="105" t="s">
        <v>173</v>
      </c>
      <c r="P5" s="105" t="s">
        <v>188</v>
      </c>
      <c r="S5" s="75" t="s">
        <v>189</v>
      </c>
      <c r="T5" s="96" t="s">
        <v>176</v>
      </c>
      <c r="U5" s="92" t="s">
        <v>190</v>
      </c>
      <c r="V5" s="92" t="s">
        <v>191</v>
      </c>
      <c r="W5" s="75" t="s">
        <v>185</v>
      </c>
      <c r="X5" s="75" t="s">
        <v>179</v>
      </c>
      <c r="Y5" s="75" t="s">
        <v>180</v>
      </c>
      <c r="AB5" s="91">
        <v>1069</v>
      </c>
      <c r="AC5" s="80" t="s">
        <v>192</v>
      </c>
      <c r="AF5" s="75" t="s">
        <v>181</v>
      </c>
      <c r="AG5" s="75" t="s">
        <v>181</v>
      </c>
      <c r="AH5" s="75" t="s">
        <v>181</v>
      </c>
      <c r="AI5" s="75" t="s">
        <v>182</v>
      </c>
      <c r="AJ5" s="75" t="s">
        <v>187</v>
      </c>
      <c r="AK5" s="79" t="s">
        <v>186</v>
      </c>
      <c r="AL5" s="79" t="s">
        <v>187</v>
      </c>
      <c r="AM5" s="79" t="s">
        <v>173</v>
      </c>
      <c r="AN5" s="79" t="s">
        <v>188</v>
      </c>
      <c r="AO5" s="75" t="s">
        <v>183</v>
      </c>
      <c r="AP5" s="77" t="s">
        <v>193</v>
      </c>
    </row>
    <row r="6" spans="1:46" s="75" customFormat="1" x14ac:dyDescent="0.3">
      <c r="B6" s="75" t="s">
        <v>371</v>
      </c>
      <c r="C6" s="75" t="s">
        <v>308</v>
      </c>
      <c r="D6" s="75" t="s">
        <v>307</v>
      </c>
      <c r="E6" s="78" t="s">
        <v>347</v>
      </c>
      <c r="F6" s="75" t="str">
        <f>Table1[[#This Row],[CEDS Element Name]]</f>
        <v>School Year</v>
      </c>
      <c r="G6" s="75" t="s">
        <v>195</v>
      </c>
      <c r="J6" s="98"/>
      <c r="K6" s="98"/>
      <c r="L6" s="75" t="s">
        <v>170</v>
      </c>
      <c r="M6" s="105" t="s">
        <v>196</v>
      </c>
      <c r="N6" s="105" t="s">
        <v>196</v>
      </c>
      <c r="O6" s="105" t="s">
        <v>196</v>
      </c>
      <c r="P6" s="105" t="s">
        <v>196</v>
      </c>
      <c r="T6" s="96" t="s">
        <v>176</v>
      </c>
      <c r="U6" s="92" t="s">
        <v>197</v>
      </c>
      <c r="V6" s="92" t="s">
        <v>198</v>
      </c>
      <c r="W6" s="75" t="s">
        <v>195</v>
      </c>
      <c r="AA6" s="92"/>
      <c r="AB6" s="91">
        <v>243</v>
      </c>
      <c r="AC6" s="80" t="s">
        <v>199</v>
      </c>
      <c r="AF6" s="75" t="s">
        <v>181</v>
      </c>
      <c r="AG6" s="75" t="s">
        <v>181</v>
      </c>
      <c r="AH6" s="75" t="s">
        <v>181</v>
      </c>
      <c r="AI6" s="75" t="s">
        <v>182</v>
      </c>
      <c r="AJ6" s="76" t="s">
        <v>194</v>
      </c>
      <c r="AK6" s="79" t="s">
        <v>378</v>
      </c>
      <c r="AL6" s="79" t="s">
        <v>380</v>
      </c>
      <c r="AM6" s="79" t="s">
        <v>173</v>
      </c>
      <c r="AN6" s="79" t="s">
        <v>379</v>
      </c>
      <c r="AO6" s="75" t="s">
        <v>183</v>
      </c>
      <c r="AP6" s="79" t="s">
        <v>200</v>
      </c>
    </row>
    <row r="7" spans="1:46" s="75" customFormat="1" ht="28.8" x14ac:dyDescent="0.3">
      <c r="B7" s="75" t="s">
        <v>371</v>
      </c>
      <c r="C7" s="75" t="s">
        <v>308</v>
      </c>
      <c r="D7" s="75" t="s">
        <v>307</v>
      </c>
      <c r="E7" s="75" t="s">
        <v>306</v>
      </c>
      <c r="F7" s="75" t="str">
        <f>Table1[[#This Row],[CEDS Element Name]]</f>
        <v>Race</v>
      </c>
      <c r="G7" s="75" t="s">
        <v>201</v>
      </c>
      <c r="J7" s="98" t="s">
        <v>298</v>
      </c>
      <c r="K7" s="98" t="s">
        <v>312</v>
      </c>
      <c r="L7" s="75" t="s">
        <v>170</v>
      </c>
      <c r="M7" s="105" t="s">
        <v>203</v>
      </c>
      <c r="N7" s="105" t="s">
        <v>204</v>
      </c>
      <c r="O7" s="105" t="s">
        <v>173</v>
      </c>
      <c r="P7" s="105" t="s">
        <v>205</v>
      </c>
      <c r="Q7" s="75" t="s">
        <v>340</v>
      </c>
      <c r="T7" s="96" t="s">
        <v>176</v>
      </c>
      <c r="U7" s="92" t="s">
        <v>207</v>
      </c>
      <c r="V7" s="92" t="s">
        <v>208</v>
      </c>
      <c r="W7" s="75" t="s">
        <v>201</v>
      </c>
      <c r="Z7" s="75" t="s">
        <v>202</v>
      </c>
      <c r="AA7" s="92"/>
      <c r="AB7" s="91">
        <v>1943</v>
      </c>
      <c r="AC7" s="80" t="s">
        <v>209</v>
      </c>
      <c r="AF7" s="75" t="s">
        <v>181</v>
      </c>
      <c r="AG7" s="75" t="s">
        <v>181</v>
      </c>
      <c r="AH7" s="75" t="s">
        <v>181</v>
      </c>
      <c r="AI7" s="75" t="s">
        <v>182</v>
      </c>
      <c r="AJ7" s="92" t="s">
        <v>208</v>
      </c>
      <c r="AK7" s="92" t="s">
        <v>203</v>
      </c>
      <c r="AL7" s="92" t="s">
        <v>204</v>
      </c>
      <c r="AM7" s="92" t="s">
        <v>173</v>
      </c>
      <c r="AN7" s="92" t="s">
        <v>205</v>
      </c>
      <c r="AO7" s="92" t="s">
        <v>210</v>
      </c>
      <c r="AP7" s="92" t="s">
        <v>211</v>
      </c>
    </row>
    <row r="8" spans="1:46" s="75" customFormat="1" x14ac:dyDescent="0.3">
      <c r="B8" s="75" t="s">
        <v>371</v>
      </c>
      <c r="C8" s="75" t="s">
        <v>308</v>
      </c>
      <c r="D8" s="75" t="s">
        <v>307</v>
      </c>
      <c r="E8" s="75" t="s">
        <v>306</v>
      </c>
      <c r="F8" s="75" t="str">
        <f>Table1[[#This Row],[CEDS Element Name]]</f>
        <v>Race</v>
      </c>
      <c r="G8" s="75" t="s">
        <v>201</v>
      </c>
      <c r="J8" s="98" t="s">
        <v>299</v>
      </c>
      <c r="K8" s="98" t="s">
        <v>313</v>
      </c>
      <c r="L8" s="75" t="s">
        <v>170</v>
      </c>
      <c r="M8" s="105" t="s">
        <v>203</v>
      </c>
      <c r="N8" s="105" t="s">
        <v>204</v>
      </c>
      <c r="O8" s="105" t="s">
        <v>173</v>
      </c>
      <c r="P8" s="105" t="s">
        <v>205</v>
      </c>
      <c r="Q8" s="75" t="s">
        <v>341</v>
      </c>
      <c r="T8" s="96" t="s">
        <v>206</v>
      </c>
      <c r="U8" s="92" t="s">
        <v>207</v>
      </c>
      <c r="V8" s="92" t="s">
        <v>208</v>
      </c>
      <c r="W8" s="75" t="s">
        <v>201</v>
      </c>
      <c r="Z8" s="75" t="s">
        <v>212</v>
      </c>
      <c r="AA8" s="92"/>
      <c r="AB8" s="91">
        <v>1943</v>
      </c>
      <c r="AC8" s="80" t="s">
        <v>209</v>
      </c>
      <c r="AF8" s="75" t="s">
        <v>181</v>
      </c>
      <c r="AG8" s="75" t="s">
        <v>181</v>
      </c>
      <c r="AH8" s="75" t="s">
        <v>181</v>
      </c>
      <c r="AI8" s="75" t="s">
        <v>182</v>
      </c>
      <c r="AJ8" s="92" t="s">
        <v>208</v>
      </c>
      <c r="AK8" s="92" t="s">
        <v>203</v>
      </c>
      <c r="AL8" s="92" t="s">
        <v>204</v>
      </c>
      <c r="AM8" s="92" t="s">
        <v>173</v>
      </c>
      <c r="AN8" s="92" t="s">
        <v>205</v>
      </c>
      <c r="AO8" s="92" t="s">
        <v>210</v>
      </c>
      <c r="AP8" s="92" t="s">
        <v>211</v>
      </c>
    </row>
    <row r="9" spans="1:46" s="75" customFormat="1" x14ac:dyDescent="0.3">
      <c r="B9" s="75" t="s">
        <v>371</v>
      </c>
      <c r="C9" s="75" t="s">
        <v>308</v>
      </c>
      <c r="D9" s="75" t="s">
        <v>307</v>
      </c>
      <c r="E9" s="75" t="s">
        <v>306</v>
      </c>
      <c r="F9" s="75" t="str">
        <f>Table1[[#This Row],[CEDS Element Name]]</f>
        <v>Race</v>
      </c>
      <c r="G9" s="75" t="s">
        <v>201</v>
      </c>
      <c r="J9" s="98" t="s">
        <v>300</v>
      </c>
      <c r="K9" s="98" t="s">
        <v>314</v>
      </c>
      <c r="L9" s="75" t="s">
        <v>170</v>
      </c>
      <c r="M9" s="105" t="s">
        <v>203</v>
      </c>
      <c r="N9" s="105" t="s">
        <v>204</v>
      </c>
      <c r="O9" s="105" t="s">
        <v>173</v>
      </c>
      <c r="P9" s="105" t="s">
        <v>205</v>
      </c>
      <c r="Q9" s="75" t="s">
        <v>342</v>
      </c>
      <c r="T9" s="96" t="s">
        <v>206</v>
      </c>
      <c r="U9" s="92" t="s">
        <v>207</v>
      </c>
      <c r="V9" s="92" t="s">
        <v>208</v>
      </c>
      <c r="W9" s="75" t="s">
        <v>201</v>
      </c>
      <c r="Z9" s="75" t="s">
        <v>213</v>
      </c>
      <c r="AA9" s="92"/>
      <c r="AB9" s="91">
        <v>1943</v>
      </c>
      <c r="AC9" s="80" t="s">
        <v>209</v>
      </c>
      <c r="AF9" s="75" t="s">
        <v>181</v>
      </c>
      <c r="AG9" s="75" t="s">
        <v>181</v>
      </c>
      <c r="AH9" s="75" t="s">
        <v>181</v>
      </c>
      <c r="AI9" s="75" t="s">
        <v>182</v>
      </c>
      <c r="AJ9" s="92" t="s">
        <v>208</v>
      </c>
      <c r="AK9" s="92" t="s">
        <v>203</v>
      </c>
      <c r="AL9" s="92" t="s">
        <v>204</v>
      </c>
      <c r="AM9" s="92" t="s">
        <v>173</v>
      </c>
      <c r="AN9" s="92" t="s">
        <v>205</v>
      </c>
      <c r="AO9" s="92" t="s">
        <v>210</v>
      </c>
      <c r="AP9" s="92" t="s">
        <v>211</v>
      </c>
    </row>
    <row r="10" spans="1:46" s="75" customFormat="1" x14ac:dyDescent="0.3">
      <c r="B10" s="75" t="s">
        <v>371</v>
      </c>
      <c r="C10" s="75" t="s">
        <v>308</v>
      </c>
      <c r="D10" s="75" t="s">
        <v>307</v>
      </c>
      <c r="E10" s="75" t="s">
        <v>306</v>
      </c>
      <c r="F10" s="75" t="str">
        <f>Table1[[#This Row],[CEDS Element Name]]</f>
        <v>Race</v>
      </c>
      <c r="G10" s="75" t="s">
        <v>201</v>
      </c>
      <c r="J10" s="98" t="s">
        <v>305</v>
      </c>
      <c r="K10" s="98" t="s">
        <v>315</v>
      </c>
      <c r="L10" s="75" t="s">
        <v>170</v>
      </c>
      <c r="M10" s="105" t="s">
        <v>203</v>
      </c>
      <c r="N10" s="105" t="s">
        <v>204</v>
      </c>
      <c r="O10" s="105" t="s">
        <v>173</v>
      </c>
      <c r="P10" s="105" t="s">
        <v>205</v>
      </c>
      <c r="Q10" s="75" t="s">
        <v>343</v>
      </c>
      <c r="T10" s="96" t="s">
        <v>206</v>
      </c>
      <c r="U10" s="92" t="s">
        <v>207</v>
      </c>
      <c r="V10" s="92" t="s">
        <v>208</v>
      </c>
      <c r="W10" s="75" t="s">
        <v>201</v>
      </c>
      <c r="Z10" s="75" t="s">
        <v>304</v>
      </c>
      <c r="AA10" s="92"/>
      <c r="AB10" s="91">
        <v>1943</v>
      </c>
      <c r="AC10" s="80" t="s">
        <v>209</v>
      </c>
      <c r="AF10" s="75" t="s">
        <v>181</v>
      </c>
      <c r="AG10" s="75" t="s">
        <v>181</v>
      </c>
      <c r="AH10" s="75" t="s">
        <v>181</v>
      </c>
      <c r="AI10" s="75" t="s">
        <v>182</v>
      </c>
      <c r="AJ10" s="92" t="s">
        <v>208</v>
      </c>
      <c r="AK10" s="92" t="s">
        <v>203</v>
      </c>
      <c r="AL10" s="92" t="s">
        <v>204</v>
      </c>
      <c r="AM10" s="92" t="s">
        <v>173</v>
      </c>
      <c r="AN10" s="92" t="s">
        <v>205</v>
      </c>
      <c r="AO10" s="92" t="s">
        <v>210</v>
      </c>
      <c r="AP10" s="92" t="s">
        <v>211</v>
      </c>
    </row>
    <row r="11" spans="1:46" s="75" customFormat="1" ht="28.8" x14ac:dyDescent="0.3">
      <c r="B11" s="75" t="s">
        <v>371</v>
      </c>
      <c r="C11" s="75" t="s">
        <v>308</v>
      </c>
      <c r="D11" s="75" t="s">
        <v>307</v>
      </c>
      <c r="E11" s="75" t="s">
        <v>306</v>
      </c>
      <c r="F11" s="75" t="str">
        <f>Table1[[#This Row],[CEDS Element Name]]</f>
        <v>Race</v>
      </c>
      <c r="G11" s="75" t="s">
        <v>201</v>
      </c>
      <c r="J11" s="98" t="s">
        <v>301</v>
      </c>
      <c r="K11" s="98" t="s">
        <v>317</v>
      </c>
      <c r="L11" s="75" t="s">
        <v>170</v>
      </c>
      <c r="M11" s="105" t="s">
        <v>203</v>
      </c>
      <c r="N11" s="105" t="s">
        <v>204</v>
      </c>
      <c r="O11" s="105" t="s">
        <v>173</v>
      </c>
      <c r="P11" s="105" t="s">
        <v>205</v>
      </c>
      <c r="Q11" s="75" t="s">
        <v>345</v>
      </c>
      <c r="T11" s="96" t="s">
        <v>206</v>
      </c>
      <c r="U11" s="92" t="s">
        <v>207</v>
      </c>
      <c r="V11" s="92" t="s">
        <v>208</v>
      </c>
      <c r="W11" s="75" t="s">
        <v>201</v>
      </c>
      <c r="Z11" s="75" t="s">
        <v>215</v>
      </c>
      <c r="AA11" s="92"/>
      <c r="AB11" s="91">
        <v>1943</v>
      </c>
      <c r="AC11" s="80" t="s">
        <v>209</v>
      </c>
      <c r="AF11" s="75" t="s">
        <v>181</v>
      </c>
      <c r="AG11" s="75" t="s">
        <v>181</v>
      </c>
      <c r="AH11" s="75" t="s">
        <v>181</v>
      </c>
      <c r="AI11" s="75" t="s">
        <v>182</v>
      </c>
      <c r="AJ11" s="92" t="s">
        <v>208</v>
      </c>
      <c r="AK11" s="92" t="s">
        <v>203</v>
      </c>
      <c r="AL11" s="92" t="s">
        <v>204</v>
      </c>
      <c r="AM11" s="92" t="s">
        <v>173</v>
      </c>
      <c r="AN11" s="92" t="s">
        <v>205</v>
      </c>
      <c r="AO11" s="92" t="s">
        <v>210</v>
      </c>
      <c r="AP11" s="92" t="s">
        <v>211</v>
      </c>
    </row>
    <row r="12" spans="1:46" s="75" customFormat="1" ht="28.8" x14ac:dyDescent="0.3">
      <c r="B12" s="75" t="s">
        <v>371</v>
      </c>
      <c r="C12" s="75" t="s">
        <v>308</v>
      </c>
      <c r="D12" s="75" t="s">
        <v>307</v>
      </c>
      <c r="E12" s="75" t="s">
        <v>306</v>
      </c>
      <c r="F12" s="75" t="str">
        <f>Table1[[#This Row],[CEDS Element Name]]</f>
        <v>Race</v>
      </c>
      <c r="G12" s="75" t="s">
        <v>201</v>
      </c>
      <c r="J12" s="98" t="s">
        <v>303</v>
      </c>
      <c r="K12" s="98" t="s">
        <v>316</v>
      </c>
      <c r="L12" s="75" t="s">
        <v>170</v>
      </c>
      <c r="M12" s="105" t="s">
        <v>203</v>
      </c>
      <c r="N12" s="105" t="s">
        <v>204</v>
      </c>
      <c r="O12" s="105" t="s">
        <v>173</v>
      </c>
      <c r="P12" s="105" t="s">
        <v>205</v>
      </c>
      <c r="Q12" s="75" t="s">
        <v>344</v>
      </c>
      <c r="T12" s="96" t="s">
        <v>206</v>
      </c>
      <c r="U12" s="92" t="s">
        <v>207</v>
      </c>
      <c r="V12" s="92" t="s">
        <v>208</v>
      </c>
      <c r="W12" s="75" t="s">
        <v>201</v>
      </c>
      <c r="Z12" s="75" t="s">
        <v>214</v>
      </c>
      <c r="AA12" s="92"/>
      <c r="AB12" s="91">
        <v>1943</v>
      </c>
      <c r="AC12" s="80" t="s">
        <v>209</v>
      </c>
      <c r="AF12" s="75" t="s">
        <v>181</v>
      </c>
      <c r="AG12" s="75" t="s">
        <v>181</v>
      </c>
      <c r="AH12" s="75" t="s">
        <v>181</v>
      </c>
      <c r="AI12" s="75" t="s">
        <v>182</v>
      </c>
      <c r="AJ12" s="92" t="s">
        <v>208</v>
      </c>
      <c r="AK12" s="92" t="s">
        <v>203</v>
      </c>
      <c r="AL12" s="92" t="s">
        <v>204</v>
      </c>
      <c r="AM12" s="92" t="s">
        <v>173</v>
      </c>
      <c r="AN12" s="92" t="s">
        <v>205</v>
      </c>
      <c r="AO12" s="92" t="s">
        <v>210</v>
      </c>
      <c r="AP12" s="92" t="s">
        <v>211</v>
      </c>
    </row>
    <row r="13" spans="1:46" s="75" customFormat="1" x14ac:dyDescent="0.3">
      <c r="B13" s="75" t="s">
        <v>371</v>
      </c>
      <c r="C13" s="75" t="s">
        <v>308</v>
      </c>
      <c r="D13" s="75" t="s">
        <v>307</v>
      </c>
      <c r="E13" s="75" t="s">
        <v>306</v>
      </c>
      <c r="F13" s="75" t="str">
        <f>Table1[[#This Row],[CEDS Element Name]]</f>
        <v>Race</v>
      </c>
      <c r="G13" s="75" t="s">
        <v>201</v>
      </c>
      <c r="J13" s="98" t="s">
        <v>302</v>
      </c>
      <c r="K13" s="98" t="s">
        <v>318</v>
      </c>
      <c r="L13" s="75" t="s">
        <v>170</v>
      </c>
      <c r="M13" s="105" t="s">
        <v>203</v>
      </c>
      <c r="N13" s="105" t="s">
        <v>204</v>
      </c>
      <c r="O13" s="105" t="s">
        <v>173</v>
      </c>
      <c r="P13" s="105" t="s">
        <v>205</v>
      </c>
      <c r="Q13" s="75" t="s">
        <v>346</v>
      </c>
      <c r="T13" s="96" t="s">
        <v>206</v>
      </c>
      <c r="U13" s="92" t="s">
        <v>207</v>
      </c>
      <c r="V13" s="92" t="s">
        <v>208</v>
      </c>
      <c r="W13" s="75" t="s">
        <v>201</v>
      </c>
      <c r="Z13" s="75" t="s">
        <v>216</v>
      </c>
      <c r="AA13" s="92"/>
      <c r="AB13" s="91">
        <v>1943</v>
      </c>
      <c r="AC13" s="80" t="s">
        <v>209</v>
      </c>
      <c r="AF13" s="75" t="s">
        <v>181</v>
      </c>
      <c r="AG13" s="75" t="s">
        <v>181</v>
      </c>
      <c r="AH13" s="75" t="s">
        <v>181</v>
      </c>
      <c r="AI13" s="75" t="s">
        <v>182</v>
      </c>
      <c r="AJ13" s="92" t="s">
        <v>208</v>
      </c>
      <c r="AK13" s="92" t="s">
        <v>203</v>
      </c>
      <c r="AL13" s="92" t="s">
        <v>204</v>
      </c>
      <c r="AM13" s="92" t="s">
        <v>173</v>
      </c>
      <c r="AN13" s="92" t="s">
        <v>205</v>
      </c>
      <c r="AO13" s="92" t="s">
        <v>210</v>
      </c>
      <c r="AP13" s="92" t="s">
        <v>211</v>
      </c>
    </row>
    <row r="14" spans="1:46" s="75" customFormat="1" x14ac:dyDescent="0.3">
      <c r="B14" s="75" t="s">
        <v>371</v>
      </c>
      <c r="C14" s="75" t="s">
        <v>308</v>
      </c>
      <c r="D14" s="75" t="s">
        <v>307</v>
      </c>
      <c r="E14" s="75" t="s">
        <v>306</v>
      </c>
      <c r="F14" s="75" t="str">
        <f>Table1[[#This Row],[CEDS Element Name]]</f>
        <v>Economic Disadvantage Status</v>
      </c>
      <c r="G14" s="75" t="s">
        <v>222</v>
      </c>
      <c r="J14" s="98" t="s">
        <v>320</v>
      </c>
      <c r="K14" s="98" t="s">
        <v>323</v>
      </c>
      <c r="L14" s="75" t="s">
        <v>170</v>
      </c>
      <c r="M14" s="105" t="s">
        <v>217</v>
      </c>
      <c r="N14" s="105" t="s">
        <v>218</v>
      </c>
      <c r="O14" s="105" t="s">
        <v>173</v>
      </c>
      <c r="P14" s="105" t="s">
        <v>219</v>
      </c>
      <c r="Q14" s="75" t="s">
        <v>321</v>
      </c>
      <c r="T14" s="96" t="s">
        <v>206</v>
      </c>
      <c r="U14" s="92" t="s">
        <v>220</v>
      </c>
      <c r="V14" s="92" t="s">
        <v>221</v>
      </c>
      <c r="W14" s="75" t="s">
        <v>222</v>
      </c>
      <c r="Z14" s="75" t="s">
        <v>223</v>
      </c>
      <c r="AA14" s="92" t="s">
        <v>223</v>
      </c>
      <c r="AB14" s="91">
        <v>86</v>
      </c>
      <c r="AC14" s="80" t="s">
        <v>224</v>
      </c>
      <c r="AF14" s="75" t="s">
        <v>181</v>
      </c>
      <c r="AG14" s="75" t="s">
        <v>181</v>
      </c>
      <c r="AH14" s="75" t="s">
        <v>181</v>
      </c>
      <c r="AI14" s="75" t="s">
        <v>182</v>
      </c>
      <c r="AJ14" s="92" t="s">
        <v>225</v>
      </c>
      <c r="AK14" s="92" t="s">
        <v>217</v>
      </c>
      <c r="AL14" s="92" t="s">
        <v>218</v>
      </c>
      <c r="AM14" s="92" t="s">
        <v>173</v>
      </c>
      <c r="AN14" s="92" t="s">
        <v>219</v>
      </c>
      <c r="AO14" s="92" t="s">
        <v>210</v>
      </c>
      <c r="AP14" s="92" t="s">
        <v>226</v>
      </c>
    </row>
    <row r="15" spans="1:46" s="75" customFormat="1" x14ac:dyDescent="0.3">
      <c r="B15" s="75" t="s">
        <v>371</v>
      </c>
      <c r="C15" s="75" t="s">
        <v>308</v>
      </c>
      <c r="D15" s="75" t="s">
        <v>307</v>
      </c>
      <c r="E15" s="75" t="s">
        <v>306</v>
      </c>
      <c r="F15" s="75" t="str">
        <f>Table1[[#This Row],[CEDS Element Name]]</f>
        <v>Economic Disadvantage Status</v>
      </c>
      <c r="G15" s="75" t="s">
        <v>222</v>
      </c>
      <c r="J15" s="98" t="s">
        <v>319</v>
      </c>
      <c r="K15" s="98"/>
      <c r="L15" s="75" t="s">
        <v>170</v>
      </c>
      <c r="M15" s="105" t="s">
        <v>217</v>
      </c>
      <c r="N15" s="105" t="s">
        <v>218</v>
      </c>
      <c r="O15" s="105" t="s">
        <v>173</v>
      </c>
      <c r="P15" s="105" t="s">
        <v>219</v>
      </c>
      <c r="T15" s="96" t="s">
        <v>206</v>
      </c>
      <c r="U15" s="92" t="s">
        <v>220</v>
      </c>
      <c r="V15" s="92" t="s">
        <v>221</v>
      </c>
      <c r="W15" s="75" t="s">
        <v>222</v>
      </c>
      <c r="Z15" s="75" t="s">
        <v>227</v>
      </c>
      <c r="AA15" s="92" t="s">
        <v>227</v>
      </c>
      <c r="AB15" s="91">
        <v>86</v>
      </c>
      <c r="AC15" s="80" t="s">
        <v>224</v>
      </c>
      <c r="AF15" s="75" t="s">
        <v>181</v>
      </c>
      <c r="AG15" s="75" t="s">
        <v>181</v>
      </c>
      <c r="AH15" s="75" t="s">
        <v>181</v>
      </c>
      <c r="AI15" s="75" t="s">
        <v>182</v>
      </c>
      <c r="AJ15" s="92" t="s">
        <v>225</v>
      </c>
      <c r="AK15" s="92" t="s">
        <v>217</v>
      </c>
      <c r="AL15" s="92" t="s">
        <v>218</v>
      </c>
      <c r="AM15" s="92" t="s">
        <v>173</v>
      </c>
      <c r="AN15" s="92" t="s">
        <v>219</v>
      </c>
      <c r="AO15" s="92" t="s">
        <v>210</v>
      </c>
      <c r="AP15" s="92" t="s">
        <v>226</v>
      </c>
    </row>
    <row r="16" spans="1:46" s="75" customFormat="1" ht="129.6" x14ac:dyDescent="0.3">
      <c r="B16" s="75" t="s">
        <v>371</v>
      </c>
      <c r="C16" s="75" t="s">
        <v>308</v>
      </c>
      <c r="D16" s="75" t="s">
        <v>307</v>
      </c>
      <c r="E16" s="75" t="s">
        <v>306</v>
      </c>
      <c r="F16" s="75" t="str">
        <f>Table1[[#This Row],[CEDS Element Name]]</f>
        <v>English Learner Status</v>
      </c>
      <c r="G16" s="75" t="s">
        <v>228</v>
      </c>
      <c r="J16" s="98" t="s">
        <v>322</v>
      </c>
      <c r="K16" s="98" t="s">
        <v>324</v>
      </c>
      <c r="L16" s="75" t="s">
        <v>170</v>
      </c>
      <c r="M16" s="105" t="s">
        <v>229</v>
      </c>
      <c r="N16" s="105" t="s">
        <v>230</v>
      </c>
      <c r="O16" s="105" t="s">
        <v>173</v>
      </c>
      <c r="P16" s="105" t="s">
        <v>231</v>
      </c>
      <c r="Q16" s="75" t="s">
        <v>328</v>
      </c>
      <c r="T16" s="96" t="s">
        <v>206</v>
      </c>
      <c r="U16" s="92" t="s">
        <v>232</v>
      </c>
      <c r="V16" s="92" t="s">
        <v>233</v>
      </c>
      <c r="W16" s="75" t="s">
        <v>228</v>
      </c>
      <c r="Z16" s="75" t="s">
        <v>223</v>
      </c>
      <c r="AA16" s="92" t="s">
        <v>223</v>
      </c>
      <c r="AB16" s="91">
        <v>180</v>
      </c>
      <c r="AC16" s="80" t="s">
        <v>234</v>
      </c>
      <c r="AF16" s="75" t="s">
        <v>181</v>
      </c>
      <c r="AG16" s="75" t="s">
        <v>181</v>
      </c>
      <c r="AH16" s="75" t="s">
        <v>181</v>
      </c>
      <c r="AI16" s="75" t="s">
        <v>182</v>
      </c>
      <c r="AJ16" s="92" t="s">
        <v>235</v>
      </c>
      <c r="AK16" s="92" t="s">
        <v>229</v>
      </c>
      <c r="AL16" s="92" t="s">
        <v>230</v>
      </c>
      <c r="AM16" s="92" t="s">
        <v>173</v>
      </c>
      <c r="AN16" s="76" t="s">
        <v>231</v>
      </c>
      <c r="AO16" s="75" t="s">
        <v>183</v>
      </c>
      <c r="AP16" s="92" t="s">
        <v>236</v>
      </c>
    </row>
    <row r="17" spans="1:46" s="75" customFormat="1" ht="129.6" x14ac:dyDescent="0.3">
      <c r="B17" s="75" t="s">
        <v>371</v>
      </c>
      <c r="C17" s="75" t="s">
        <v>308</v>
      </c>
      <c r="D17" s="75" t="s">
        <v>307</v>
      </c>
      <c r="E17" s="75" t="s">
        <v>306</v>
      </c>
      <c r="F17" s="75" t="str">
        <f>Table1[[#This Row],[CEDS Element Name]]</f>
        <v>English Learner Status</v>
      </c>
      <c r="G17" s="75" t="s">
        <v>228</v>
      </c>
      <c r="J17" s="98" t="s">
        <v>319</v>
      </c>
      <c r="K17" s="98"/>
      <c r="L17" s="75" t="s">
        <v>170</v>
      </c>
      <c r="M17" s="105" t="s">
        <v>229</v>
      </c>
      <c r="N17" s="105" t="s">
        <v>230</v>
      </c>
      <c r="O17" s="105" t="s">
        <v>173</v>
      </c>
      <c r="P17" s="105" t="s">
        <v>231</v>
      </c>
      <c r="T17" s="96" t="s">
        <v>206</v>
      </c>
      <c r="U17" s="92" t="s">
        <v>232</v>
      </c>
      <c r="V17" s="92" t="s">
        <v>233</v>
      </c>
      <c r="W17" s="75" t="s">
        <v>228</v>
      </c>
      <c r="Z17" s="75" t="s">
        <v>227</v>
      </c>
      <c r="AA17" s="92" t="s">
        <v>227</v>
      </c>
      <c r="AB17" s="91">
        <v>180</v>
      </c>
      <c r="AC17" s="80" t="s">
        <v>234</v>
      </c>
      <c r="AF17" s="75" t="s">
        <v>181</v>
      </c>
      <c r="AG17" s="75" t="s">
        <v>181</v>
      </c>
      <c r="AH17" s="75" t="s">
        <v>181</v>
      </c>
      <c r="AI17" s="75" t="s">
        <v>182</v>
      </c>
      <c r="AJ17" s="92" t="s">
        <v>235</v>
      </c>
      <c r="AK17" s="92" t="s">
        <v>229</v>
      </c>
      <c r="AL17" s="92" t="s">
        <v>230</v>
      </c>
      <c r="AM17" s="92" t="s">
        <v>173</v>
      </c>
      <c r="AN17" s="76" t="s">
        <v>231</v>
      </c>
      <c r="AO17" s="75" t="s">
        <v>183</v>
      </c>
      <c r="AP17" s="92" t="s">
        <v>236</v>
      </c>
    </row>
    <row r="18" spans="1:46" s="75" customFormat="1" ht="72" x14ac:dyDescent="0.3">
      <c r="B18" s="75" t="s">
        <v>371</v>
      </c>
      <c r="C18" s="75" t="s">
        <v>308</v>
      </c>
      <c r="D18" s="75" t="s">
        <v>307</v>
      </c>
      <c r="E18" s="75" t="s">
        <v>306</v>
      </c>
      <c r="F18" s="75" t="str">
        <f>Table1[[#This Row],[CEDS Element Name]]</f>
        <v>IDEA Indicator</v>
      </c>
      <c r="G18" s="75" t="s">
        <v>237</v>
      </c>
      <c r="J18" s="98" t="s">
        <v>326</v>
      </c>
      <c r="K18" s="98" t="s">
        <v>325</v>
      </c>
      <c r="L18" s="75" t="s">
        <v>170</v>
      </c>
      <c r="M18" s="105" t="s">
        <v>238</v>
      </c>
      <c r="N18" s="105" t="s">
        <v>239</v>
      </c>
      <c r="O18" s="105" t="s">
        <v>173</v>
      </c>
      <c r="P18" s="105" t="s">
        <v>240</v>
      </c>
      <c r="Q18" s="75" t="s">
        <v>327</v>
      </c>
      <c r="T18" s="96" t="s">
        <v>206</v>
      </c>
      <c r="U18" s="92" t="s">
        <v>241</v>
      </c>
      <c r="V18" s="92" t="s">
        <v>242</v>
      </c>
      <c r="W18" s="75" t="s">
        <v>237</v>
      </c>
      <c r="Z18" s="75" t="s">
        <v>223</v>
      </c>
      <c r="AA18" s="92" t="s">
        <v>223</v>
      </c>
      <c r="AB18" s="91">
        <v>151</v>
      </c>
      <c r="AC18" s="80" t="s">
        <v>243</v>
      </c>
      <c r="AF18" s="75" t="s">
        <v>181</v>
      </c>
      <c r="AG18" s="75" t="s">
        <v>181</v>
      </c>
      <c r="AH18" s="75" t="s">
        <v>181</v>
      </c>
      <c r="AI18" s="75" t="s">
        <v>182</v>
      </c>
      <c r="AJ18" s="92" t="s">
        <v>244</v>
      </c>
      <c r="AK18" s="92" t="s">
        <v>238</v>
      </c>
      <c r="AL18" s="92" t="s">
        <v>239</v>
      </c>
      <c r="AM18" s="92" t="s">
        <v>173</v>
      </c>
      <c r="AN18" s="92" t="s">
        <v>240</v>
      </c>
      <c r="AO18" s="92" t="s">
        <v>210</v>
      </c>
      <c r="AP18" s="92" t="s">
        <v>245</v>
      </c>
    </row>
    <row r="19" spans="1:46" s="75" customFormat="1" ht="72" x14ac:dyDescent="0.3">
      <c r="B19" s="75" t="s">
        <v>371</v>
      </c>
      <c r="C19" s="75" t="s">
        <v>308</v>
      </c>
      <c r="D19" s="75" t="s">
        <v>307</v>
      </c>
      <c r="E19" s="75" t="s">
        <v>306</v>
      </c>
      <c r="F19" s="75" t="str">
        <f>Table1[[#This Row],[CEDS Element Name]]</f>
        <v>IDEA Indicator</v>
      </c>
      <c r="G19" s="75" t="s">
        <v>237</v>
      </c>
      <c r="J19" s="98" t="s">
        <v>319</v>
      </c>
      <c r="K19" s="98"/>
      <c r="L19" s="75" t="s">
        <v>170</v>
      </c>
      <c r="M19" s="105" t="s">
        <v>238</v>
      </c>
      <c r="N19" s="105" t="s">
        <v>239</v>
      </c>
      <c r="O19" s="105" t="s">
        <v>173</v>
      </c>
      <c r="P19" s="105" t="s">
        <v>240</v>
      </c>
      <c r="T19" s="96" t="s">
        <v>206</v>
      </c>
      <c r="U19" s="92" t="s">
        <v>246</v>
      </c>
      <c r="V19" s="92" t="s">
        <v>242</v>
      </c>
      <c r="W19" s="75" t="s">
        <v>237</v>
      </c>
      <c r="Z19" s="75" t="s">
        <v>227</v>
      </c>
      <c r="AA19" s="92" t="s">
        <v>227</v>
      </c>
      <c r="AB19" s="91">
        <v>151</v>
      </c>
      <c r="AC19" s="80" t="s">
        <v>243</v>
      </c>
      <c r="AF19" s="75" t="s">
        <v>181</v>
      </c>
      <c r="AG19" s="75" t="s">
        <v>181</v>
      </c>
      <c r="AH19" s="75" t="s">
        <v>181</v>
      </c>
      <c r="AI19" s="75" t="s">
        <v>182</v>
      </c>
      <c r="AJ19" s="92" t="s">
        <v>244</v>
      </c>
      <c r="AK19" s="92" t="s">
        <v>238</v>
      </c>
      <c r="AL19" s="92" t="s">
        <v>239</v>
      </c>
      <c r="AM19" s="92" t="s">
        <v>173</v>
      </c>
      <c r="AN19" s="92" t="s">
        <v>240</v>
      </c>
      <c r="AO19" s="92" t="s">
        <v>210</v>
      </c>
      <c r="AP19" s="92" t="s">
        <v>245</v>
      </c>
    </row>
    <row r="20" spans="1:46" s="75" customFormat="1" ht="73.95" customHeight="1" x14ac:dyDescent="0.3">
      <c r="B20" s="75" t="s">
        <v>371</v>
      </c>
      <c r="C20" s="75" t="s">
        <v>308</v>
      </c>
      <c r="D20" s="75" t="s">
        <v>307</v>
      </c>
      <c r="E20" s="75" t="s">
        <v>348</v>
      </c>
      <c r="F20" s="75" t="str">
        <f>Table1[[#This Row],[CEDS Element Name]]</f>
        <v>School Performance Indicator Category</v>
      </c>
      <c r="G20" s="75" t="s">
        <v>339</v>
      </c>
      <c r="J20" s="98" t="s">
        <v>329</v>
      </c>
      <c r="K20" s="98" t="s">
        <v>330</v>
      </c>
      <c r="M20" s="105" t="s">
        <v>249</v>
      </c>
      <c r="N20" s="105" t="s">
        <v>250</v>
      </c>
      <c r="O20" s="105" t="s">
        <v>173</v>
      </c>
      <c r="P20" s="105" t="s">
        <v>251</v>
      </c>
      <c r="T20" s="96" t="s">
        <v>361</v>
      </c>
      <c r="U20" s="75" t="s">
        <v>247</v>
      </c>
      <c r="V20" s="75" t="s">
        <v>368</v>
      </c>
      <c r="W20" s="75" t="s">
        <v>339</v>
      </c>
      <c r="Z20" s="75" t="s">
        <v>329</v>
      </c>
      <c r="AA20" s="75" t="s">
        <v>330</v>
      </c>
      <c r="AB20" s="91"/>
      <c r="AC20" s="80"/>
      <c r="AF20" s="75" t="s">
        <v>181</v>
      </c>
      <c r="AG20" s="75" t="s">
        <v>181</v>
      </c>
      <c r="AH20" s="75" t="s">
        <v>181</v>
      </c>
      <c r="AI20" s="75" t="s">
        <v>182</v>
      </c>
      <c r="AJ20" s="77" t="s">
        <v>248</v>
      </c>
      <c r="AK20" s="77" t="s">
        <v>249</v>
      </c>
      <c r="AL20" s="77" t="s">
        <v>250</v>
      </c>
      <c r="AM20" s="77" t="s">
        <v>173</v>
      </c>
      <c r="AN20" s="77" t="s">
        <v>251</v>
      </c>
      <c r="AO20" s="94" t="s">
        <v>196</v>
      </c>
      <c r="AP20" s="94" t="s">
        <v>196</v>
      </c>
    </row>
    <row r="21" spans="1:46" s="75" customFormat="1" ht="73.95" customHeight="1" x14ac:dyDescent="0.3">
      <c r="B21" s="75" t="s">
        <v>371</v>
      </c>
      <c r="C21" s="98" t="s">
        <v>308</v>
      </c>
      <c r="D21" s="98" t="s">
        <v>307</v>
      </c>
      <c r="E21" s="98" t="s">
        <v>387</v>
      </c>
      <c r="F21" s="75" t="str">
        <f>Table1[[#This Row],[CEDS Element Name]]</f>
        <v>School Performance Indicator Type</v>
      </c>
      <c r="G21" s="75" t="s">
        <v>366</v>
      </c>
      <c r="J21" s="99" t="s">
        <v>331</v>
      </c>
      <c r="K21" s="104" t="s">
        <v>332</v>
      </c>
      <c r="M21" s="105" t="s">
        <v>253</v>
      </c>
      <c r="N21" s="105" t="s">
        <v>254</v>
      </c>
      <c r="O21" s="105" t="s">
        <v>173</v>
      </c>
      <c r="P21" s="105" t="s">
        <v>255</v>
      </c>
      <c r="Q21" s="75" t="s">
        <v>352</v>
      </c>
      <c r="S21" s="75" t="s">
        <v>356</v>
      </c>
      <c r="T21" s="96" t="s">
        <v>361</v>
      </c>
      <c r="U21" s="75" t="s">
        <v>247</v>
      </c>
      <c r="V21" s="75" t="s">
        <v>369</v>
      </c>
      <c r="W21" s="75" t="s">
        <v>366</v>
      </c>
      <c r="Z21" s="75" t="s">
        <v>331</v>
      </c>
      <c r="AA21" s="75" t="s">
        <v>332</v>
      </c>
      <c r="AB21" s="91"/>
      <c r="AC21" s="80"/>
      <c r="AF21" s="75" t="s">
        <v>181</v>
      </c>
      <c r="AG21" s="75" t="s">
        <v>181</v>
      </c>
      <c r="AH21" s="75" t="s">
        <v>181</v>
      </c>
      <c r="AI21" s="75" t="s">
        <v>182</v>
      </c>
      <c r="AJ21" s="77" t="s">
        <v>252</v>
      </c>
      <c r="AK21" s="77" t="s">
        <v>253</v>
      </c>
      <c r="AL21" s="77" t="s">
        <v>254</v>
      </c>
      <c r="AM21" s="77" t="s">
        <v>173</v>
      </c>
      <c r="AN21" s="77" t="s">
        <v>255</v>
      </c>
      <c r="AO21" s="77" t="s">
        <v>210</v>
      </c>
      <c r="AP21" s="77" t="s">
        <v>256</v>
      </c>
    </row>
    <row r="22" spans="1:46" s="75" customFormat="1" ht="73.95" customHeight="1" x14ac:dyDescent="0.3">
      <c r="B22" s="75" t="s">
        <v>371</v>
      </c>
      <c r="C22" s="98" t="s">
        <v>308</v>
      </c>
      <c r="D22" s="98" t="s">
        <v>307</v>
      </c>
      <c r="E22" s="98" t="s">
        <v>388</v>
      </c>
      <c r="F22" s="75" t="str">
        <f>Table1[[#This Row],[CEDS Element Name]]</f>
        <v>School Performance Indicator Type</v>
      </c>
      <c r="G22" s="75" t="s">
        <v>366</v>
      </c>
      <c r="J22" s="99" t="s">
        <v>333</v>
      </c>
      <c r="K22" s="104" t="s">
        <v>334</v>
      </c>
      <c r="M22" s="105" t="s">
        <v>253</v>
      </c>
      <c r="N22" s="105" t="s">
        <v>254</v>
      </c>
      <c r="O22" s="105" t="s">
        <v>173</v>
      </c>
      <c r="P22" s="105" t="s">
        <v>255</v>
      </c>
      <c r="Q22" s="75" t="s">
        <v>353</v>
      </c>
      <c r="S22" s="75" t="s">
        <v>356</v>
      </c>
      <c r="T22" s="96" t="s">
        <v>361</v>
      </c>
      <c r="U22" s="75" t="s">
        <v>247</v>
      </c>
      <c r="V22" s="75" t="s">
        <v>369</v>
      </c>
      <c r="W22" s="75" t="s">
        <v>366</v>
      </c>
      <c r="Z22" s="75" t="s">
        <v>333</v>
      </c>
      <c r="AA22" s="75" t="s">
        <v>334</v>
      </c>
      <c r="AB22" s="91"/>
      <c r="AC22" s="80"/>
      <c r="AF22" s="75" t="s">
        <v>181</v>
      </c>
      <c r="AG22" s="75" t="s">
        <v>181</v>
      </c>
      <c r="AH22" s="75" t="s">
        <v>181</v>
      </c>
      <c r="AI22" s="75" t="s">
        <v>182</v>
      </c>
      <c r="AJ22" s="77" t="s">
        <v>252</v>
      </c>
      <c r="AK22" s="77" t="s">
        <v>253</v>
      </c>
      <c r="AL22" s="77" t="s">
        <v>254</v>
      </c>
      <c r="AM22" s="77" t="s">
        <v>173</v>
      </c>
      <c r="AN22" s="77" t="s">
        <v>255</v>
      </c>
      <c r="AO22" s="77" t="s">
        <v>210</v>
      </c>
      <c r="AP22" s="77" t="s">
        <v>256</v>
      </c>
    </row>
    <row r="23" spans="1:46" s="75" customFormat="1" ht="73.95" customHeight="1" x14ac:dyDescent="0.3">
      <c r="B23" s="75" t="s">
        <v>371</v>
      </c>
      <c r="C23" s="98" t="s">
        <v>308</v>
      </c>
      <c r="D23" s="98" t="s">
        <v>307</v>
      </c>
      <c r="E23" s="75" t="s">
        <v>389</v>
      </c>
      <c r="F23" s="75" t="str">
        <f>Table1[[#This Row],[CEDS Element Name]]</f>
        <v>School Performance Indicator Type</v>
      </c>
      <c r="G23" s="75" t="s">
        <v>366</v>
      </c>
      <c r="J23" s="99" t="s">
        <v>335</v>
      </c>
      <c r="K23" s="104" t="s">
        <v>336</v>
      </c>
      <c r="M23" s="105" t="s">
        <v>253</v>
      </c>
      <c r="N23" s="105" t="s">
        <v>254</v>
      </c>
      <c r="O23" s="105" t="s">
        <v>173</v>
      </c>
      <c r="P23" s="105" t="s">
        <v>255</v>
      </c>
      <c r="Q23" s="75" t="s">
        <v>354</v>
      </c>
      <c r="S23" s="75" t="s">
        <v>356</v>
      </c>
      <c r="T23" s="96" t="s">
        <v>361</v>
      </c>
      <c r="U23" s="75" t="s">
        <v>247</v>
      </c>
      <c r="V23" s="75" t="s">
        <v>369</v>
      </c>
      <c r="W23" s="75" t="s">
        <v>366</v>
      </c>
      <c r="Z23" s="75" t="s">
        <v>335</v>
      </c>
      <c r="AA23" s="75" t="s">
        <v>336</v>
      </c>
      <c r="AB23" s="91"/>
      <c r="AC23" s="80"/>
      <c r="AF23" s="75" t="s">
        <v>181</v>
      </c>
      <c r="AG23" s="75" t="s">
        <v>181</v>
      </c>
      <c r="AH23" s="75" t="s">
        <v>181</v>
      </c>
      <c r="AI23" s="75" t="s">
        <v>182</v>
      </c>
      <c r="AJ23" s="77" t="s">
        <v>252</v>
      </c>
      <c r="AK23" s="77" t="s">
        <v>253</v>
      </c>
      <c r="AL23" s="77" t="s">
        <v>254</v>
      </c>
      <c r="AM23" s="77" t="s">
        <v>173</v>
      </c>
      <c r="AN23" s="77" t="s">
        <v>255</v>
      </c>
      <c r="AO23" s="77" t="s">
        <v>210</v>
      </c>
      <c r="AP23" s="77" t="s">
        <v>256</v>
      </c>
    </row>
    <row r="24" spans="1:46" s="75" customFormat="1" ht="73.95" customHeight="1" x14ac:dyDescent="0.3">
      <c r="B24" s="75" t="s">
        <v>371</v>
      </c>
      <c r="C24" s="98" t="s">
        <v>308</v>
      </c>
      <c r="D24" s="98" t="s">
        <v>307</v>
      </c>
      <c r="E24" s="75" t="s">
        <v>390</v>
      </c>
      <c r="F24" s="75" t="str">
        <f>Table1[[#This Row],[CEDS Element Name]]</f>
        <v>School Performance Indicator Type</v>
      </c>
      <c r="G24" s="75" t="s">
        <v>366</v>
      </c>
      <c r="J24" s="99" t="s">
        <v>337</v>
      </c>
      <c r="K24" s="104" t="s">
        <v>338</v>
      </c>
      <c r="M24" s="105" t="s">
        <v>253</v>
      </c>
      <c r="N24" s="105" t="s">
        <v>254</v>
      </c>
      <c r="O24" s="105" t="s">
        <v>173</v>
      </c>
      <c r="P24" s="105" t="s">
        <v>255</v>
      </c>
      <c r="Q24" s="75" t="s">
        <v>355</v>
      </c>
      <c r="S24" s="75" t="s">
        <v>356</v>
      </c>
      <c r="T24" s="96" t="s">
        <v>361</v>
      </c>
      <c r="U24" s="75" t="s">
        <v>247</v>
      </c>
      <c r="V24" s="75" t="s">
        <v>369</v>
      </c>
      <c r="W24" s="75" t="s">
        <v>366</v>
      </c>
      <c r="Z24" s="75" t="s">
        <v>337</v>
      </c>
      <c r="AA24" s="75" t="s">
        <v>338</v>
      </c>
      <c r="AB24" s="91"/>
      <c r="AC24" s="80"/>
      <c r="AF24" s="75" t="s">
        <v>181</v>
      </c>
      <c r="AG24" s="75" t="s">
        <v>181</v>
      </c>
      <c r="AH24" s="75" t="s">
        <v>181</v>
      </c>
      <c r="AI24" s="75" t="s">
        <v>182</v>
      </c>
      <c r="AJ24" s="77" t="s">
        <v>252</v>
      </c>
      <c r="AK24" s="77" t="s">
        <v>253</v>
      </c>
      <c r="AL24" s="77" t="s">
        <v>254</v>
      </c>
      <c r="AM24" s="77" t="s">
        <v>173</v>
      </c>
      <c r="AN24" s="77" t="s">
        <v>255</v>
      </c>
      <c r="AO24" s="77" t="s">
        <v>210</v>
      </c>
      <c r="AP24" s="77" t="s">
        <v>256</v>
      </c>
    </row>
    <row r="25" spans="1:46" ht="28.8" x14ac:dyDescent="0.3">
      <c r="A25" s="75"/>
      <c r="B25" s="75" t="s">
        <v>371</v>
      </c>
      <c r="C25" s="98" t="s">
        <v>308</v>
      </c>
      <c r="D25" s="98" t="s">
        <v>307</v>
      </c>
      <c r="E25" s="99" t="s">
        <v>349</v>
      </c>
      <c r="F25" s="75" t="str">
        <f>Table1[[#This Row],[CEDS Element Name]]</f>
        <v>School Performance Indicator Status</v>
      </c>
      <c r="G25" s="75" t="s">
        <v>367</v>
      </c>
      <c r="H25" s="75"/>
      <c r="I25" s="75"/>
      <c r="J25" s="102" t="s">
        <v>267</v>
      </c>
      <c r="K25" s="102" t="s">
        <v>268</v>
      </c>
      <c r="L25" s="75" t="s">
        <v>170</v>
      </c>
      <c r="M25" s="105" t="s">
        <v>264</v>
      </c>
      <c r="N25" s="105" t="s">
        <v>259</v>
      </c>
      <c r="O25" s="105" t="s">
        <v>173</v>
      </c>
      <c r="P25" s="105" t="s">
        <v>296</v>
      </c>
      <c r="Q25" s="75" t="s">
        <v>357</v>
      </c>
      <c r="R25" s="75"/>
      <c r="S25" s="75" t="s">
        <v>362</v>
      </c>
      <c r="T25" s="96" t="s">
        <v>361</v>
      </c>
      <c r="U25" s="76"/>
      <c r="V25" s="75" t="s">
        <v>370</v>
      </c>
      <c r="W25" s="76" t="s">
        <v>367</v>
      </c>
      <c r="X25" s="76"/>
      <c r="Y25" s="76"/>
      <c r="Z25" s="76" t="s">
        <v>267</v>
      </c>
      <c r="AA25" s="76" t="s">
        <v>268</v>
      </c>
      <c r="AB25" s="89">
        <v>2140</v>
      </c>
      <c r="AC25" s="90">
        <v>76650</v>
      </c>
      <c r="AD25" s="75"/>
      <c r="AE25" s="75"/>
      <c r="AF25" s="76" t="s">
        <v>181</v>
      </c>
      <c r="AG25" s="76" t="s">
        <v>181</v>
      </c>
      <c r="AH25" s="76" t="s">
        <v>181</v>
      </c>
      <c r="AI25" s="75" t="s">
        <v>182</v>
      </c>
      <c r="AJ25" s="76" t="s">
        <v>263</v>
      </c>
      <c r="AK25" s="75" t="s">
        <v>264</v>
      </c>
      <c r="AL25" s="75" t="s">
        <v>259</v>
      </c>
      <c r="AM25" s="75" t="s">
        <v>173</v>
      </c>
      <c r="AN25" s="75" t="s">
        <v>296</v>
      </c>
      <c r="AO25" s="75" t="s">
        <v>183</v>
      </c>
      <c r="AP25" s="75" t="s">
        <v>297</v>
      </c>
      <c r="AQ25" s="75"/>
      <c r="AR25" s="75"/>
      <c r="AS25" s="75"/>
      <c r="AT25" s="75"/>
    </row>
    <row r="26" spans="1:46" x14ac:dyDescent="0.3">
      <c r="A26" s="75"/>
      <c r="B26" s="75" t="s">
        <v>371</v>
      </c>
      <c r="C26" s="98" t="s">
        <v>308</v>
      </c>
      <c r="D26" s="98" t="s">
        <v>307</v>
      </c>
      <c r="E26" s="99" t="s">
        <v>349</v>
      </c>
      <c r="F26" s="75" t="str">
        <f>Table1[[#This Row],[CEDS Element Name]]</f>
        <v>School Performance Indicator Status</v>
      </c>
      <c r="G26" s="75" t="s">
        <v>367</v>
      </c>
      <c r="H26" s="75"/>
      <c r="I26" s="75"/>
      <c r="J26" s="102" t="s">
        <v>265</v>
      </c>
      <c r="K26" s="102" t="s">
        <v>266</v>
      </c>
      <c r="L26" s="75" t="s">
        <v>170</v>
      </c>
      <c r="M26" s="105" t="s">
        <v>264</v>
      </c>
      <c r="N26" s="105" t="s">
        <v>259</v>
      </c>
      <c r="O26" s="105" t="s">
        <v>173</v>
      </c>
      <c r="P26" s="105" t="s">
        <v>296</v>
      </c>
      <c r="Q26" s="75" t="s">
        <v>309</v>
      </c>
      <c r="R26" s="75"/>
      <c r="S26" s="75" t="s">
        <v>362</v>
      </c>
      <c r="T26" s="96" t="s">
        <v>361</v>
      </c>
      <c r="U26" s="76"/>
      <c r="V26" s="75" t="s">
        <v>370</v>
      </c>
      <c r="W26" s="76" t="s">
        <v>367</v>
      </c>
      <c r="X26" s="76"/>
      <c r="Y26" s="76"/>
      <c r="Z26" s="76" t="s">
        <v>265</v>
      </c>
      <c r="AA26" s="76" t="s">
        <v>266</v>
      </c>
      <c r="AB26" s="89">
        <v>2140</v>
      </c>
      <c r="AC26" s="90">
        <v>76650</v>
      </c>
      <c r="AD26" s="75"/>
      <c r="AE26" s="75"/>
      <c r="AF26" s="76" t="s">
        <v>181</v>
      </c>
      <c r="AG26" s="76" t="s">
        <v>181</v>
      </c>
      <c r="AH26" s="76" t="s">
        <v>181</v>
      </c>
      <c r="AI26" s="75" t="s">
        <v>182</v>
      </c>
      <c r="AJ26" s="76" t="s">
        <v>263</v>
      </c>
      <c r="AK26" s="75" t="s">
        <v>264</v>
      </c>
      <c r="AL26" s="75" t="s">
        <v>259</v>
      </c>
      <c r="AM26" s="75" t="s">
        <v>173</v>
      </c>
      <c r="AN26" s="75" t="s">
        <v>296</v>
      </c>
      <c r="AO26" s="75" t="s">
        <v>183</v>
      </c>
      <c r="AP26" s="75" t="s">
        <v>297</v>
      </c>
      <c r="AQ26" s="75"/>
      <c r="AR26" s="75"/>
      <c r="AS26" s="75"/>
      <c r="AT26" s="75"/>
    </row>
    <row r="27" spans="1:46" ht="28.8" x14ac:dyDescent="0.3">
      <c r="A27" s="75"/>
      <c r="B27" s="75" t="s">
        <v>371</v>
      </c>
      <c r="C27" s="98" t="s">
        <v>308</v>
      </c>
      <c r="D27" s="98" t="s">
        <v>307</v>
      </c>
      <c r="E27" s="99" t="s">
        <v>349</v>
      </c>
      <c r="F27" s="75" t="str">
        <f>Table1[[#This Row],[CEDS Element Name]]</f>
        <v>School Performance Indicator Status</v>
      </c>
      <c r="G27" s="75" t="s">
        <v>367</v>
      </c>
      <c r="H27" s="75"/>
      <c r="I27" s="75"/>
      <c r="J27" s="102" t="s">
        <v>267</v>
      </c>
      <c r="K27" s="102" t="s">
        <v>268</v>
      </c>
      <c r="L27" s="75" t="s">
        <v>170</v>
      </c>
      <c r="M27" s="105" t="s">
        <v>264</v>
      </c>
      <c r="N27" s="105" t="s">
        <v>259</v>
      </c>
      <c r="O27" s="105" t="s">
        <v>173</v>
      </c>
      <c r="P27" s="105" t="s">
        <v>296</v>
      </c>
      <c r="Q27" s="75" t="s">
        <v>358</v>
      </c>
      <c r="R27" s="75"/>
      <c r="S27" s="75" t="s">
        <v>363</v>
      </c>
      <c r="T27" s="96" t="s">
        <v>361</v>
      </c>
      <c r="U27" s="76"/>
      <c r="V27" s="75" t="s">
        <v>370</v>
      </c>
      <c r="W27" s="76" t="s">
        <v>367</v>
      </c>
      <c r="X27" s="76"/>
      <c r="Y27" s="76"/>
      <c r="Z27" s="76" t="s">
        <v>267</v>
      </c>
      <c r="AA27" s="76" t="s">
        <v>268</v>
      </c>
      <c r="AB27" s="89">
        <v>2140</v>
      </c>
      <c r="AC27" s="90">
        <v>76650</v>
      </c>
      <c r="AD27" s="75"/>
      <c r="AE27" s="75"/>
      <c r="AF27" s="76" t="s">
        <v>181</v>
      </c>
      <c r="AG27" s="76" t="s">
        <v>181</v>
      </c>
      <c r="AH27" s="76" t="s">
        <v>181</v>
      </c>
      <c r="AI27" s="75" t="s">
        <v>182</v>
      </c>
      <c r="AJ27" s="76" t="s">
        <v>263</v>
      </c>
      <c r="AK27" s="75" t="s">
        <v>264</v>
      </c>
      <c r="AL27" s="75" t="s">
        <v>259</v>
      </c>
      <c r="AM27" s="75" t="s">
        <v>173</v>
      </c>
      <c r="AN27" s="75" t="s">
        <v>296</v>
      </c>
      <c r="AO27" s="75" t="s">
        <v>183</v>
      </c>
      <c r="AP27" s="75" t="s">
        <v>297</v>
      </c>
      <c r="AQ27" s="75"/>
      <c r="AR27" s="75"/>
      <c r="AS27" s="75"/>
      <c r="AT27" s="75"/>
    </row>
    <row r="28" spans="1:46" x14ac:dyDescent="0.3">
      <c r="A28" s="75"/>
      <c r="B28" s="75" t="s">
        <v>371</v>
      </c>
      <c r="C28" s="98" t="s">
        <v>308</v>
      </c>
      <c r="D28" s="98" t="s">
        <v>307</v>
      </c>
      <c r="E28" s="99" t="s">
        <v>349</v>
      </c>
      <c r="F28" s="75" t="str">
        <f>Table1[[#This Row],[CEDS Element Name]]</f>
        <v>School Performance Indicator Status</v>
      </c>
      <c r="G28" s="75" t="s">
        <v>367</v>
      </c>
      <c r="H28" s="75"/>
      <c r="I28" s="75"/>
      <c r="J28" s="102" t="s">
        <v>265</v>
      </c>
      <c r="K28" s="102" t="s">
        <v>266</v>
      </c>
      <c r="L28" s="75" t="s">
        <v>170</v>
      </c>
      <c r="M28" s="105" t="s">
        <v>264</v>
      </c>
      <c r="N28" s="105" t="s">
        <v>259</v>
      </c>
      <c r="O28" s="105" t="s">
        <v>173</v>
      </c>
      <c r="P28" s="105" t="s">
        <v>296</v>
      </c>
      <c r="Q28" s="75" t="s">
        <v>309</v>
      </c>
      <c r="R28" s="75"/>
      <c r="S28" s="75" t="s">
        <v>363</v>
      </c>
      <c r="T28" s="96" t="s">
        <v>361</v>
      </c>
      <c r="U28" s="76"/>
      <c r="V28" s="75" t="s">
        <v>370</v>
      </c>
      <c r="W28" s="76" t="s">
        <v>367</v>
      </c>
      <c r="X28" s="76"/>
      <c r="Y28" s="76"/>
      <c r="Z28" s="76" t="s">
        <v>265</v>
      </c>
      <c r="AA28" s="76" t="s">
        <v>266</v>
      </c>
      <c r="AB28" s="89">
        <v>2140</v>
      </c>
      <c r="AC28" s="90">
        <v>76650</v>
      </c>
      <c r="AD28" s="75"/>
      <c r="AE28" s="75"/>
      <c r="AF28" s="76" t="s">
        <v>181</v>
      </c>
      <c r="AG28" s="76" t="s">
        <v>181</v>
      </c>
      <c r="AH28" s="76" t="s">
        <v>181</v>
      </c>
      <c r="AI28" s="75" t="s">
        <v>182</v>
      </c>
      <c r="AJ28" s="76" t="s">
        <v>263</v>
      </c>
      <c r="AK28" s="75" t="s">
        <v>264</v>
      </c>
      <c r="AL28" s="75" t="s">
        <v>259</v>
      </c>
      <c r="AM28" s="75" t="s">
        <v>173</v>
      </c>
      <c r="AN28" s="75" t="s">
        <v>296</v>
      </c>
      <c r="AO28" s="75" t="s">
        <v>183</v>
      </c>
      <c r="AP28" s="75" t="s">
        <v>297</v>
      </c>
      <c r="AQ28" s="75"/>
      <c r="AR28" s="75"/>
      <c r="AS28" s="75"/>
      <c r="AT28" s="75"/>
    </row>
    <row r="29" spans="1:46" ht="28.8" x14ac:dyDescent="0.3">
      <c r="A29" s="75"/>
      <c r="B29" s="75" t="s">
        <v>371</v>
      </c>
      <c r="C29" s="98" t="s">
        <v>308</v>
      </c>
      <c r="D29" s="98" t="s">
        <v>307</v>
      </c>
      <c r="E29" s="99" t="s">
        <v>350</v>
      </c>
      <c r="F29" s="75" t="str">
        <f>Table1[[#This Row],[CEDS Element Name]]</f>
        <v>School Performance Indicator Status</v>
      </c>
      <c r="G29" s="75" t="s">
        <v>367</v>
      </c>
      <c r="H29" s="75"/>
      <c r="I29" s="75"/>
      <c r="J29" s="102" t="s">
        <v>267</v>
      </c>
      <c r="K29" s="102" t="s">
        <v>268</v>
      </c>
      <c r="L29" s="75" t="s">
        <v>170</v>
      </c>
      <c r="M29" s="105" t="s">
        <v>264</v>
      </c>
      <c r="N29" s="105" t="s">
        <v>259</v>
      </c>
      <c r="O29" s="105" t="s">
        <v>173</v>
      </c>
      <c r="P29" s="105" t="s">
        <v>296</v>
      </c>
      <c r="Q29" s="75" t="s">
        <v>359</v>
      </c>
      <c r="R29" s="75"/>
      <c r="S29" s="75" t="s">
        <v>364</v>
      </c>
      <c r="T29" s="96" t="s">
        <v>361</v>
      </c>
      <c r="U29" s="76"/>
      <c r="V29" s="75" t="s">
        <v>370</v>
      </c>
      <c r="W29" s="76" t="s">
        <v>367</v>
      </c>
      <c r="X29" s="76"/>
      <c r="Y29" s="76"/>
      <c r="Z29" s="76" t="s">
        <v>267</v>
      </c>
      <c r="AA29" s="76" t="s">
        <v>268</v>
      </c>
      <c r="AB29" s="89">
        <v>2140</v>
      </c>
      <c r="AC29" s="90">
        <v>76650</v>
      </c>
      <c r="AD29" s="75"/>
      <c r="AE29" s="75"/>
      <c r="AF29" s="76" t="s">
        <v>181</v>
      </c>
      <c r="AG29" s="76" t="s">
        <v>181</v>
      </c>
      <c r="AH29" s="76" t="s">
        <v>181</v>
      </c>
      <c r="AI29" s="75" t="s">
        <v>182</v>
      </c>
      <c r="AJ29" s="76" t="s">
        <v>263</v>
      </c>
      <c r="AK29" s="75" t="s">
        <v>264</v>
      </c>
      <c r="AL29" s="75" t="s">
        <v>259</v>
      </c>
      <c r="AM29" s="75" t="s">
        <v>173</v>
      </c>
      <c r="AN29" s="75" t="s">
        <v>296</v>
      </c>
      <c r="AO29" s="75" t="s">
        <v>183</v>
      </c>
      <c r="AP29" s="75" t="s">
        <v>297</v>
      </c>
      <c r="AQ29" s="75"/>
      <c r="AR29" s="75"/>
      <c r="AS29" s="75"/>
      <c r="AT29" s="75"/>
    </row>
    <row r="30" spans="1:46" x14ac:dyDescent="0.3">
      <c r="A30" s="75"/>
      <c r="B30" s="75" t="s">
        <v>371</v>
      </c>
      <c r="C30" s="98" t="s">
        <v>308</v>
      </c>
      <c r="D30" s="98" t="s">
        <v>307</v>
      </c>
      <c r="E30" s="99" t="s">
        <v>350</v>
      </c>
      <c r="F30" s="75" t="str">
        <f>Table1[[#This Row],[CEDS Element Name]]</f>
        <v>School Performance Indicator Status</v>
      </c>
      <c r="G30" s="75" t="s">
        <v>367</v>
      </c>
      <c r="H30" s="75"/>
      <c r="I30" s="75"/>
      <c r="J30" s="102" t="s">
        <v>265</v>
      </c>
      <c r="K30" s="102" t="s">
        <v>266</v>
      </c>
      <c r="L30" s="75" t="s">
        <v>170</v>
      </c>
      <c r="M30" s="105" t="s">
        <v>264</v>
      </c>
      <c r="N30" s="105" t="s">
        <v>259</v>
      </c>
      <c r="O30" s="105" t="s">
        <v>173</v>
      </c>
      <c r="P30" s="105" t="s">
        <v>296</v>
      </c>
      <c r="Q30" s="75" t="s">
        <v>309</v>
      </c>
      <c r="R30" s="75"/>
      <c r="S30" s="75" t="s">
        <v>364</v>
      </c>
      <c r="T30" s="96" t="s">
        <v>361</v>
      </c>
      <c r="U30" s="76"/>
      <c r="V30" s="75" t="s">
        <v>370</v>
      </c>
      <c r="W30" s="76" t="s">
        <v>367</v>
      </c>
      <c r="X30" s="76"/>
      <c r="Y30" s="76"/>
      <c r="Z30" s="76" t="s">
        <v>265</v>
      </c>
      <c r="AA30" s="76" t="s">
        <v>266</v>
      </c>
      <c r="AB30" s="89">
        <v>2140</v>
      </c>
      <c r="AC30" s="90">
        <v>76650</v>
      </c>
      <c r="AD30" s="75"/>
      <c r="AE30" s="75"/>
      <c r="AF30" s="76" t="s">
        <v>181</v>
      </c>
      <c r="AG30" s="76" t="s">
        <v>181</v>
      </c>
      <c r="AH30" s="76" t="s">
        <v>181</v>
      </c>
      <c r="AI30" s="75" t="s">
        <v>182</v>
      </c>
      <c r="AJ30" s="76" t="s">
        <v>263</v>
      </c>
      <c r="AK30" s="75" t="s">
        <v>264</v>
      </c>
      <c r="AL30" s="75" t="s">
        <v>259</v>
      </c>
      <c r="AM30" s="75" t="s">
        <v>173</v>
      </c>
      <c r="AN30" s="75" t="s">
        <v>296</v>
      </c>
      <c r="AO30" s="75" t="s">
        <v>183</v>
      </c>
      <c r="AP30" s="75" t="s">
        <v>297</v>
      </c>
      <c r="AQ30" s="75"/>
      <c r="AR30" s="75"/>
      <c r="AS30" s="75"/>
      <c r="AT30" s="75"/>
    </row>
    <row r="31" spans="1:46" ht="28.8" x14ac:dyDescent="0.3">
      <c r="A31" s="75"/>
      <c r="B31" s="75" t="s">
        <v>371</v>
      </c>
      <c r="C31" s="98" t="s">
        <v>308</v>
      </c>
      <c r="D31" s="98" t="s">
        <v>307</v>
      </c>
      <c r="E31" s="99" t="s">
        <v>351</v>
      </c>
      <c r="F31" s="75" t="str">
        <f>Table1[[#This Row],[CEDS Element Name]]</f>
        <v>School Performance Indicator Status</v>
      </c>
      <c r="G31" s="75" t="s">
        <v>367</v>
      </c>
      <c r="H31" s="75"/>
      <c r="I31" s="75"/>
      <c r="J31" s="102" t="s">
        <v>267</v>
      </c>
      <c r="K31" s="102" t="s">
        <v>268</v>
      </c>
      <c r="L31" s="75" t="s">
        <v>170</v>
      </c>
      <c r="M31" s="105" t="s">
        <v>264</v>
      </c>
      <c r="N31" s="105" t="s">
        <v>259</v>
      </c>
      <c r="O31" s="105" t="s">
        <v>173</v>
      </c>
      <c r="P31" s="105" t="s">
        <v>296</v>
      </c>
      <c r="Q31" s="75" t="s">
        <v>360</v>
      </c>
      <c r="R31" s="75"/>
      <c r="S31" s="75" t="s">
        <v>365</v>
      </c>
      <c r="T31" s="96" t="s">
        <v>361</v>
      </c>
      <c r="U31" s="76"/>
      <c r="V31" s="75" t="s">
        <v>370</v>
      </c>
      <c r="W31" s="76" t="s">
        <v>367</v>
      </c>
      <c r="X31" s="76"/>
      <c r="Y31" s="76"/>
      <c r="Z31" s="76" t="s">
        <v>267</v>
      </c>
      <c r="AA31" s="76" t="s">
        <v>268</v>
      </c>
      <c r="AB31" s="89">
        <v>2140</v>
      </c>
      <c r="AC31" s="90">
        <v>76650</v>
      </c>
      <c r="AD31" s="75"/>
      <c r="AE31" s="75"/>
      <c r="AF31" s="76" t="s">
        <v>181</v>
      </c>
      <c r="AG31" s="76" t="s">
        <v>181</v>
      </c>
      <c r="AH31" s="76" t="s">
        <v>181</v>
      </c>
      <c r="AI31" s="75" t="s">
        <v>182</v>
      </c>
      <c r="AJ31" s="76" t="s">
        <v>263</v>
      </c>
      <c r="AK31" s="75" t="s">
        <v>264</v>
      </c>
      <c r="AL31" s="75" t="s">
        <v>259</v>
      </c>
      <c r="AM31" s="75" t="s">
        <v>173</v>
      </c>
      <c r="AN31" s="75" t="s">
        <v>296</v>
      </c>
      <c r="AO31" s="75" t="s">
        <v>183</v>
      </c>
      <c r="AP31" s="75" t="s">
        <v>297</v>
      </c>
      <c r="AQ31" s="75"/>
      <c r="AR31" s="75"/>
      <c r="AS31" s="75"/>
      <c r="AT31" s="75"/>
    </row>
    <row r="32" spans="1:46" x14ac:dyDescent="0.3">
      <c r="A32" s="75"/>
      <c r="B32" s="75" t="s">
        <v>371</v>
      </c>
      <c r="C32" s="98" t="s">
        <v>308</v>
      </c>
      <c r="D32" s="98" t="s">
        <v>307</v>
      </c>
      <c r="E32" s="99" t="s">
        <v>351</v>
      </c>
      <c r="F32" s="75" t="str">
        <f>Table1[[#This Row],[CEDS Element Name]]</f>
        <v>School Performance Indicator Status</v>
      </c>
      <c r="G32" s="75" t="s">
        <v>367</v>
      </c>
      <c r="H32" s="75"/>
      <c r="I32" s="75"/>
      <c r="J32" s="102" t="s">
        <v>265</v>
      </c>
      <c r="K32" s="102" t="s">
        <v>266</v>
      </c>
      <c r="L32" s="75" t="s">
        <v>170</v>
      </c>
      <c r="M32" s="105" t="s">
        <v>264</v>
      </c>
      <c r="N32" s="105" t="s">
        <v>259</v>
      </c>
      <c r="O32" s="105" t="s">
        <v>173</v>
      </c>
      <c r="P32" s="105" t="s">
        <v>296</v>
      </c>
      <c r="Q32" s="75" t="s">
        <v>309</v>
      </c>
      <c r="R32" s="75"/>
      <c r="S32" s="75" t="s">
        <v>365</v>
      </c>
      <c r="T32" s="96" t="s">
        <v>361</v>
      </c>
      <c r="U32" s="76"/>
      <c r="V32" s="75" t="s">
        <v>370</v>
      </c>
      <c r="W32" s="76" t="s">
        <v>367</v>
      </c>
      <c r="X32" s="76"/>
      <c r="Y32" s="76"/>
      <c r="Z32" s="76" t="s">
        <v>265</v>
      </c>
      <c r="AA32" s="76" t="s">
        <v>266</v>
      </c>
      <c r="AB32" s="89">
        <v>2140</v>
      </c>
      <c r="AC32" s="90">
        <v>76650</v>
      </c>
      <c r="AD32" s="75"/>
      <c r="AE32" s="75"/>
      <c r="AF32" s="76" t="s">
        <v>181</v>
      </c>
      <c r="AG32" s="76" t="s">
        <v>181</v>
      </c>
      <c r="AH32" s="76" t="s">
        <v>181</v>
      </c>
      <c r="AI32" s="75" t="s">
        <v>182</v>
      </c>
      <c r="AJ32" s="76" t="s">
        <v>263</v>
      </c>
      <c r="AK32" s="75" t="s">
        <v>264</v>
      </c>
      <c r="AL32" s="75" t="s">
        <v>259</v>
      </c>
      <c r="AM32" s="75" t="s">
        <v>173</v>
      </c>
      <c r="AN32" s="75" t="s">
        <v>296</v>
      </c>
      <c r="AO32" s="75" t="s">
        <v>183</v>
      </c>
      <c r="AP32" s="75" t="s">
        <v>297</v>
      </c>
      <c r="AQ32" s="75"/>
      <c r="AR32" s="75"/>
      <c r="AS32" s="75"/>
      <c r="AT32" s="75"/>
    </row>
    <row r="33" spans="1:46" x14ac:dyDescent="0.3">
      <c r="A33" s="75"/>
      <c r="B33" s="75" t="s">
        <v>371</v>
      </c>
      <c r="C33" s="75" t="s">
        <v>319</v>
      </c>
      <c r="D33" s="75" t="s">
        <v>319</v>
      </c>
      <c r="E33" s="75" t="s">
        <v>319</v>
      </c>
      <c r="F33" s="75" t="str">
        <f>Table1[[#This Row],[CEDS Element Name]]</f>
        <v>School Performance Indicator Status</v>
      </c>
      <c r="G33" s="75"/>
      <c r="H33" s="75"/>
      <c r="I33" s="75"/>
      <c r="J33" s="101" t="s">
        <v>261</v>
      </c>
      <c r="K33" s="101" t="s">
        <v>262</v>
      </c>
      <c r="L33" s="75" t="s">
        <v>170</v>
      </c>
      <c r="M33" s="105" t="s">
        <v>264</v>
      </c>
      <c r="N33" s="105" t="s">
        <v>259</v>
      </c>
      <c r="O33" s="105" t="s">
        <v>173</v>
      </c>
      <c r="P33" s="105" t="s">
        <v>296</v>
      </c>
      <c r="Q33" s="75"/>
      <c r="R33" s="75"/>
      <c r="S33" s="75"/>
      <c r="T33" s="96" t="s">
        <v>176</v>
      </c>
      <c r="U33" s="76"/>
      <c r="V33" s="75" t="s">
        <v>370</v>
      </c>
      <c r="W33" s="76"/>
      <c r="X33" s="76"/>
      <c r="Y33" s="76"/>
      <c r="Z33" s="95" t="s">
        <v>261</v>
      </c>
      <c r="AA33" s="95" t="s">
        <v>262</v>
      </c>
      <c r="AB33" s="89">
        <v>2140</v>
      </c>
      <c r="AC33" s="90">
        <v>76650</v>
      </c>
      <c r="AD33" s="75"/>
      <c r="AE33" s="75"/>
      <c r="AF33" s="76" t="s">
        <v>181</v>
      </c>
      <c r="AG33" s="76" t="s">
        <v>181</v>
      </c>
      <c r="AH33" s="76" t="s">
        <v>181</v>
      </c>
      <c r="AI33" s="75" t="s">
        <v>182</v>
      </c>
      <c r="AJ33" s="76" t="s">
        <v>263</v>
      </c>
      <c r="AK33" s="75" t="s">
        <v>264</v>
      </c>
      <c r="AL33" s="75" t="s">
        <v>259</v>
      </c>
      <c r="AM33" s="75" t="s">
        <v>173</v>
      </c>
      <c r="AN33" s="75" t="s">
        <v>296</v>
      </c>
      <c r="AO33" s="75" t="s">
        <v>183</v>
      </c>
      <c r="AP33" s="75" t="s">
        <v>297</v>
      </c>
      <c r="AQ33" s="75"/>
      <c r="AR33" s="75"/>
      <c r="AS33" s="75"/>
      <c r="AT33" s="75"/>
    </row>
    <row r="34" spans="1:46" ht="72" x14ac:dyDescent="0.3">
      <c r="A34" s="75"/>
      <c r="B34" s="75" t="s">
        <v>371</v>
      </c>
      <c r="C34" s="75" t="s">
        <v>308</v>
      </c>
      <c r="D34" s="75" t="s">
        <v>307</v>
      </c>
      <c r="E34" s="96" t="s">
        <v>387</v>
      </c>
      <c r="F34" s="75" t="str">
        <f>Table1[[#This Row],[CEDS Element Name]]</f>
        <v>School Performance Indicator State Defined Status Code</v>
      </c>
      <c r="G34" s="75" t="str">
        <f>Table1[[#This Row],[CEDS Element Definition]]</f>
        <v>The state defined indicator status.Required when STTDEF permitted value above is used.</v>
      </c>
      <c r="H34" s="75"/>
      <c r="I34" s="75"/>
      <c r="J34" s="102"/>
      <c r="K34" s="102"/>
      <c r="L34" s="75"/>
      <c r="M34" s="105" t="str">
        <f>Table1[[#This Row],[Destination RDS Dimension Table Name]]</f>
        <v>DimSchoolPerformanceIndicatorStateDefinedStatuses</v>
      </c>
      <c r="N34" s="105" t="str">
        <f>Table1[[#This Row],[Destination RDS Dimension Column Name]]</f>
        <v>SchoolPerformanceIndicatorStateDefinedStatusCode</v>
      </c>
      <c r="O34" s="105" t="str">
        <f>Table1[[#This Row],[Destination RDS Fact Table Name]]</f>
        <v>FactSchoolPerformanceIndicators</v>
      </c>
      <c r="P34" s="105" t="str">
        <f>Table1[[#This Row],[Destination RDS Fact Column Name]]</f>
        <v>SchoolPerformanceIndicatorStateDefinedStatusId</v>
      </c>
      <c r="Q34" s="75" t="s">
        <v>352</v>
      </c>
      <c r="R34" s="75"/>
      <c r="S34" s="75" t="s">
        <v>356</v>
      </c>
      <c r="T34" s="96" t="str">
        <f>T21</f>
        <v>FS202</v>
      </c>
      <c r="U34" s="76" t="s">
        <v>247</v>
      </c>
      <c r="V34" s="75" t="s">
        <v>385</v>
      </c>
      <c r="W34" s="76" t="s">
        <v>386</v>
      </c>
      <c r="X34" s="76"/>
      <c r="Y34" s="76"/>
      <c r="Z34" s="78"/>
      <c r="AA34" s="78"/>
      <c r="AB34" s="89"/>
      <c r="AC34" s="90"/>
      <c r="AD34" s="75"/>
      <c r="AE34" s="75"/>
      <c r="AF34" s="76" t="s">
        <v>181</v>
      </c>
      <c r="AG34" s="76" t="s">
        <v>181</v>
      </c>
      <c r="AH34" s="76" t="s">
        <v>181</v>
      </c>
      <c r="AI34" s="75" t="s">
        <v>182</v>
      </c>
      <c r="AJ34" s="76" t="s">
        <v>391</v>
      </c>
      <c r="AK34" s="75" t="s">
        <v>382</v>
      </c>
      <c r="AL34" s="75" t="s">
        <v>381</v>
      </c>
      <c r="AM34" s="75" t="s">
        <v>173</v>
      </c>
      <c r="AN34" s="75" t="s">
        <v>383</v>
      </c>
      <c r="AO34" s="75" t="s">
        <v>210</v>
      </c>
      <c r="AP34" s="75" t="s">
        <v>384</v>
      </c>
      <c r="AQ34" s="75"/>
      <c r="AR34" s="75"/>
      <c r="AS34" s="75"/>
      <c r="AT34" s="75"/>
    </row>
    <row r="35" spans="1:46" ht="72" x14ac:dyDescent="0.3">
      <c r="A35" s="75"/>
      <c r="B35" s="75" t="s">
        <v>371</v>
      </c>
      <c r="C35" s="75" t="s">
        <v>308</v>
      </c>
      <c r="D35" s="75" t="s">
        <v>307</v>
      </c>
      <c r="E35" s="96" t="s">
        <v>388</v>
      </c>
      <c r="F35" s="75" t="str">
        <f>Table1[[#This Row],[CEDS Element Name]]</f>
        <v>School Performance Indicator State Defined Status Code</v>
      </c>
      <c r="G35" s="75" t="str">
        <f>Table1[[#This Row],[CEDS Element Definition]]</f>
        <v>The state defined indicator status.Required when STTDEF permitted value above is used.</v>
      </c>
      <c r="H35" s="75"/>
      <c r="I35" s="75"/>
      <c r="J35" s="102"/>
      <c r="K35" s="102"/>
      <c r="L35" s="75"/>
      <c r="M35" s="105" t="str">
        <f>Table1[[#This Row],[Destination RDS Dimension Table Name]]</f>
        <v>DimSchoolPerformanceIndicatorStateDefinedStatuses</v>
      </c>
      <c r="N35" s="105" t="str">
        <f>Table1[[#This Row],[Destination RDS Dimension Column Name]]</f>
        <v>SchoolPerformanceIndicatorStateDefinedStatusCode</v>
      </c>
      <c r="O35" s="105" t="str">
        <f>Table1[[#This Row],[Destination RDS Fact Table Name]]</f>
        <v>FactSchoolPerformanceIndicators</v>
      </c>
      <c r="P35" s="105" t="str">
        <f>Table1[[#This Row],[Destination RDS Fact Column Name]]</f>
        <v>SchoolPerformanceIndicatorStateDefinedStatusId</v>
      </c>
      <c r="Q35" s="75" t="s">
        <v>353</v>
      </c>
      <c r="R35" s="75"/>
      <c r="S35" s="75" t="s">
        <v>356</v>
      </c>
      <c r="T35" s="96" t="str">
        <f>T22</f>
        <v>FS202</v>
      </c>
      <c r="U35" s="76" t="s">
        <v>247</v>
      </c>
      <c r="V35" s="75" t="s">
        <v>385</v>
      </c>
      <c r="W35" s="76" t="s">
        <v>386</v>
      </c>
      <c r="X35" s="76"/>
      <c r="Y35" s="76"/>
      <c r="Z35" s="78"/>
      <c r="AA35" s="78"/>
      <c r="AB35" s="89"/>
      <c r="AC35" s="90"/>
      <c r="AD35" s="75"/>
      <c r="AE35" s="75"/>
      <c r="AF35" s="76" t="s">
        <v>181</v>
      </c>
      <c r="AG35" s="76" t="s">
        <v>181</v>
      </c>
      <c r="AH35" s="76" t="s">
        <v>181</v>
      </c>
      <c r="AI35" s="75" t="s">
        <v>182</v>
      </c>
      <c r="AJ35" s="76" t="s">
        <v>391</v>
      </c>
      <c r="AK35" s="75" t="s">
        <v>382</v>
      </c>
      <c r="AL35" s="75" t="s">
        <v>381</v>
      </c>
      <c r="AM35" s="75" t="s">
        <v>173</v>
      </c>
      <c r="AN35" s="75" t="s">
        <v>383</v>
      </c>
      <c r="AO35" s="75" t="s">
        <v>210</v>
      </c>
      <c r="AP35" s="75" t="s">
        <v>384</v>
      </c>
      <c r="AQ35" s="75"/>
      <c r="AR35" s="75"/>
      <c r="AS35" s="75"/>
      <c r="AT35" s="75"/>
    </row>
    <row r="36" spans="1:46" ht="72" x14ac:dyDescent="0.3">
      <c r="A36" s="75"/>
      <c r="B36" s="75" t="s">
        <v>371</v>
      </c>
      <c r="C36" s="75" t="s">
        <v>308</v>
      </c>
      <c r="D36" s="75" t="s">
        <v>307</v>
      </c>
      <c r="E36" s="96" t="s">
        <v>389</v>
      </c>
      <c r="F36" s="75" t="str">
        <f>Table1[[#This Row],[CEDS Element Name]]</f>
        <v>School Performance Indicator State Defined Status Code</v>
      </c>
      <c r="G36" s="75" t="str">
        <f>Table1[[#This Row],[CEDS Element Definition]]</f>
        <v>The state defined indicator status.Required when STTDEF permitted value above is used.</v>
      </c>
      <c r="H36" s="75"/>
      <c r="I36" s="75"/>
      <c r="J36" s="102"/>
      <c r="K36" s="102"/>
      <c r="L36" s="75"/>
      <c r="M36" s="105" t="str">
        <f>Table1[[#This Row],[Destination RDS Dimension Table Name]]</f>
        <v>DimSchoolPerformanceIndicatorStateDefinedStatuses</v>
      </c>
      <c r="N36" s="105" t="str">
        <f>Table1[[#This Row],[Destination RDS Dimension Column Name]]</f>
        <v>SchoolPerformanceIndicatorStateDefinedStatusCode</v>
      </c>
      <c r="O36" s="105" t="str">
        <f>Table1[[#This Row],[Destination RDS Fact Table Name]]</f>
        <v>FactSchoolPerformanceIndicators</v>
      </c>
      <c r="P36" s="105" t="str">
        <f>Table1[[#This Row],[Destination RDS Fact Column Name]]</f>
        <v>SchoolPerformanceIndicatorStateDefinedStatusId</v>
      </c>
      <c r="Q36" s="75" t="s">
        <v>354</v>
      </c>
      <c r="R36" s="75"/>
      <c r="S36" s="75" t="s">
        <v>356</v>
      </c>
      <c r="T36" s="96" t="str">
        <f>T23</f>
        <v>FS202</v>
      </c>
      <c r="U36" s="76" t="s">
        <v>247</v>
      </c>
      <c r="V36" s="75" t="s">
        <v>385</v>
      </c>
      <c r="W36" s="76" t="s">
        <v>386</v>
      </c>
      <c r="X36" s="76"/>
      <c r="Y36" s="76"/>
      <c r="Z36" s="78"/>
      <c r="AA36" s="78"/>
      <c r="AB36" s="89"/>
      <c r="AC36" s="90"/>
      <c r="AD36" s="75"/>
      <c r="AE36" s="75"/>
      <c r="AF36" s="76" t="s">
        <v>181</v>
      </c>
      <c r="AG36" s="76" t="s">
        <v>181</v>
      </c>
      <c r="AH36" s="76" t="s">
        <v>181</v>
      </c>
      <c r="AI36" s="75" t="s">
        <v>182</v>
      </c>
      <c r="AJ36" s="76" t="s">
        <v>391</v>
      </c>
      <c r="AK36" s="75" t="s">
        <v>382</v>
      </c>
      <c r="AL36" s="75" t="s">
        <v>381</v>
      </c>
      <c r="AM36" s="75" t="s">
        <v>173</v>
      </c>
      <c r="AN36" s="75" t="s">
        <v>383</v>
      </c>
      <c r="AO36" s="75" t="s">
        <v>210</v>
      </c>
      <c r="AP36" s="75" t="s">
        <v>384</v>
      </c>
      <c r="AQ36" s="75"/>
      <c r="AR36" s="75"/>
      <c r="AS36" s="75"/>
      <c r="AT36" s="75"/>
    </row>
    <row r="37" spans="1:46" ht="72" x14ac:dyDescent="0.3">
      <c r="A37" s="75"/>
      <c r="B37" s="75" t="s">
        <v>371</v>
      </c>
      <c r="C37" s="75" t="s">
        <v>308</v>
      </c>
      <c r="D37" s="75" t="s">
        <v>307</v>
      </c>
      <c r="E37" s="96" t="s">
        <v>390</v>
      </c>
      <c r="F37" s="75" t="str">
        <f>Table1[[#This Row],[CEDS Element Name]]</f>
        <v>School Performance Indicator State Defined Status Code</v>
      </c>
      <c r="G37" s="75" t="str">
        <f>Table1[[#This Row],[CEDS Element Definition]]</f>
        <v>The state defined indicator status.Required when STTDEF permitted value above is used.</v>
      </c>
      <c r="H37" s="75"/>
      <c r="I37" s="75"/>
      <c r="J37" s="102"/>
      <c r="K37" s="102"/>
      <c r="L37" s="75"/>
      <c r="M37" s="105" t="str">
        <f>Table1[[#This Row],[Destination RDS Dimension Table Name]]</f>
        <v>DimSchoolPerformanceIndicatorStateDefinedStatuses</v>
      </c>
      <c r="N37" s="105" t="str">
        <f>Table1[[#This Row],[Destination RDS Dimension Column Name]]</f>
        <v>SchoolPerformanceIndicatorStateDefinedStatusCode</v>
      </c>
      <c r="O37" s="105" t="str">
        <f>Table1[[#This Row],[Destination RDS Fact Table Name]]</f>
        <v>FactSchoolPerformanceIndicators</v>
      </c>
      <c r="P37" s="105" t="str">
        <f>Table1[[#This Row],[Destination RDS Fact Column Name]]</f>
        <v>SchoolPerformanceIndicatorStateDefinedStatusId</v>
      </c>
      <c r="Q37" s="75" t="s">
        <v>355</v>
      </c>
      <c r="R37" s="75"/>
      <c r="S37" s="75" t="s">
        <v>356</v>
      </c>
      <c r="T37" s="96" t="str">
        <f>T24</f>
        <v>FS202</v>
      </c>
      <c r="U37" s="76" t="s">
        <v>247</v>
      </c>
      <c r="V37" s="75" t="s">
        <v>385</v>
      </c>
      <c r="W37" s="76" t="s">
        <v>386</v>
      </c>
      <c r="X37" s="76"/>
      <c r="Y37" s="76"/>
      <c r="Z37" s="78"/>
      <c r="AA37" s="78"/>
      <c r="AB37" s="89"/>
      <c r="AC37" s="90"/>
      <c r="AD37" s="75"/>
      <c r="AE37" s="75"/>
      <c r="AF37" s="76" t="s">
        <v>181</v>
      </c>
      <c r="AG37" s="76" t="s">
        <v>181</v>
      </c>
      <c r="AH37" s="76" t="s">
        <v>181</v>
      </c>
      <c r="AI37" s="75" t="s">
        <v>182</v>
      </c>
      <c r="AJ37" s="76" t="s">
        <v>391</v>
      </c>
      <c r="AK37" s="75" t="s">
        <v>382</v>
      </c>
      <c r="AL37" s="75" t="s">
        <v>381</v>
      </c>
      <c r="AM37" s="75" t="s">
        <v>173</v>
      </c>
      <c r="AN37" s="75" t="s">
        <v>383</v>
      </c>
      <c r="AO37" s="75" t="s">
        <v>210</v>
      </c>
      <c r="AP37" s="75" t="s">
        <v>384</v>
      </c>
      <c r="AQ37" s="75"/>
      <c r="AR37" s="75"/>
      <c r="AS37" s="75"/>
      <c r="AT37" s="75"/>
    </row>
    <row r="38" spans="1:46" x14ac:dyDescent="0.3">
      <c r="A38" s="93"/>
      <c r="B38" s="93" t="s">
        <v>371</v>
      </c>
      <c r="C38" s="93"/>
      <c r="D38" s="93" t="s">
        <v>258</v>
      </c>
      <c r="E38" s="85" t="s">
        <v>270</v>
      </c>
      <c r="F38" s="93" t="str">
        <f>Table1[[#This Row],[CEDS Element Name]]</f>
        <v>Metric Type</v>
      </c>
      <c r="G38" s="93"/>
      <c r="H38" s="93"/>
      <c r="I38" s="93"/>
      <c r="J38" s="103"/>
      <c r="K38" s="103"/>
      <c r="L38" s="93" t="s">
        <v>170</v>
      </c>
      <c r="M38" s="85" t="s">
        <v>269</v>
      </c>
      <c r="N38" s="85" t="s">
        <v>269</v>
      </c>
      <c r="O38" s="85" t="s">
        <v>173</v>
      </c>
      <c r="P38" s="85" t="s">
        <v>269</v>
      </c>
      <c r="Q38" s="93"/>
      <c r="R38" s="93"/>
      <c r="S38" s="93" t="s">
        <v>260</v>
      </c>
      <c r="T38" s="97" t="s">
        <v>257</v>
      </c>
      <c r="U38" s="86" t="s">
        <v>271</v>
      </c>
      <c r="V38" s="86" t="s">
        <v>272</v>
      </c>
      <c r="W38" s="86" t="s">
        <v>273</v>
      </c>
      <c r="X38" s="86"/>
      <c r="Y38" s="86"/>
      <c r="Z38" s="86" t="s">
        <v>274</v>
      </c>
      <c r="AA38" s="86" t="s">
        <v>275</v>
      </c>
      <c r="AB38" s="87">
        <v>2141</v>
      </c>
      <c r="AC38" s="87">
        <v>76651</v>
      </c>
      <c r="AD38" s="86"/>
      <c r="AE38" s="93"/>
      <c r="AF38" s="93" t="s">
        <v>181</v>
      </c>
      <c r="AG38" s="93" t="s">
        <v>181</v>
      </c>
      <c r="AH38" s="93" t="s">
        <v>181</v>
      </c>
      <c r="AI38" s="93" t="s">
        <v>182</v>
      </c>
      <c r="AJ38" s="85" t="s">
        <v>269</v>
      </c>
      <c r="AK38" s="85" t="s">
        <v>269</v>
      </c>
      <c r="AL38" s="85" t="s">
        <v>269</v>
      </c>
      <c r="AM38" s="85" t="s">
        <v>173</v>
      </c>
      <c r="AN38" s="85" t="s">
        <v>269</v>
      </c>
      <c r="AO38" s="93" t="s">
        <v>183</v>
      </c>
      <c r="AP38" s="85" t="s">
        <v>269</v>
      </c>
      <c r="AQ38" s="93"/>
      <c r="AR38" s="93"/>
      <c r="AS38" s="93"/>
      <c r="AT38" s="93"/>
    </row>
    <row r="39" spans="1:46" x14ac:dyDescent="0.3">
      <c r="A39" s="93"/>
      <c r="B39" s="93" t="s">
        <v>371</v>
      </c>
      <c r="C39" s="93"/>
      <c r="D39" s="93" t="s">
        <v>258</v>
      </c>
      <c r="E39" s="85" t="s">
        <v>270</v>
      </c>
      <c r="F39" s="93" t="str">
        <f>Table1[[#This Row],[CEDS Element Name]]</f>
        <v>Metric Type</v>
      </c>
      <c r="G39" s="93"/>
      <c r="H39" s="93"/>
      <c r="I39" s="93"/>
      <c r="J39" s="103"/>
      <c r="K39" s="103"/>
      <c r="L39" s="93" t="s">
        <v>170</v>
      </c>
      <c r="M39" s="85" t="s">
        <v>269</v>
      </c>
      <c r="N39" s="85" t="s">
        <v>269</v>
      </c>
      <c r="O39" s="85" t="s">
        <v>173</v>
      </c>
      <c r="P39" s="85" t="s">
        <v>269</v>
      </c>
      <c r="Q39" s="93"/>
      <c r="R39" s="93"/>
      <c r="S39" s="93" t="s">
        <v>260</v>
      </c>
      <c r="T39" s="97" t="s">
        <v>257</v>
      </c>
      <c r="U39" s="86" t="s">
        <v>271</v>
      </c>
      <c r="V39" s="86" t="s">
        <v>272</v>
      </c>
      <c r="W39" s="86" t="s">
        <v>273</v>
      </c>
      <c r="X39" s="86"/>
      <c r="Y39" s="86"/>
      <c r="Z39" s="86" t="s">
        <v>276</v>
      </c>
      <c r="AA39" s="86" t="s">
        <v>277</v>
      </c>
      <c r="AB39" s="87">
        <v>2141</v>
      </c>
      <c r="AC39" s="87">
        <v>76651</v>
      </c>
      <c r="AD39" s="86"/>
      <c r="AE39" s="93"/>
      <c r="AF39" s="93" t="s">
        <v>181</v>
      </c>
      <c r="AG39" s="93" t="s">
        <v>181</v>
      </c>
      <c r="AH39" s="93" t="s">
        <v>181</v>
      </c>
      <c r="AI39" s="93" t="s">
        <v>182</v>
      </c>
      <c r="AJ39" s="85" t="s">
        <v>269</v>
      </c>
      <c r="AK39" s="85" t="s">
        <v>269</v>
      </c>
      <c r="AL39" s="85" t="s">
        <v>269</v>
      </c>
      <c r="AM39" s="85" t="s">
        <v>173</v>
      </c>
      <c r="AN39" s="85" t="s">
        <v>269</v>
      </c>
      <c r="AO39" s="93" t="s">
        <v>183</v>
      </c>
      <c r="AP39" s="85" t="s">
        <v>269</v>
      </c>
      <c r="AQ39" s="93"/>
      <c r="AR39" s="93"/>
      <c r="AS39" s="93"/>
      <c r="AT39" s="93"/>
    </row>
    <row r="40" spans="1:46" ht="28.8" x14ac:dyDescent="0.3">
      <c r="A40" s="93"/>
      <c r="B40" s="93" t="s">
        <v>371</v>
      </c>
      <c r="C40" s="93"/>
      <c r="D40" s="93" t="s">
        <v>258</v>
      </c>
      <c r="E40" s="85" t="s">
        <v>270</v>
      </c>
      <c r="F40" s="93" t="str">
        <f>Table1[[#This Row],[CEDS Element Name]]</f>
        <v>Metric Type</v>
      </c>
      <c r="G40" s="93"/>
      <c r="H40" s="93"/>
      <c r="I40" s="93"/>
      <c r="J40" s="103"/>
      <c r="K40" s="103"/>
      <c r="L40" s="93" t="s">
        <v>170</v>
      </c>
      <c r="M40" s="85" t="s">
        <v>269</v>
      </c>
      <c r="N40" s="85" t="s">
        <v>269</v>
      </c>
      <c r="O40" s="85" t="s">
        <v>173</v>
      </c>
      <c r="P40" s="85" t="s">
        <v>269</v>
      </c>
      <c r="Q40" s="93"/>
      <c r="R40" s="93"/>
      <c r="S40" s="93" t="s">
        <v>260</v>
      </c>
      <c r="T40" s="97" t="s">
        <v>257</v>
      </c>
      <c r="U40" s="86" t="s">
        <v>271</v>
      </c>
      <c r="V40" s="86" t="s">
        <v>272</v>
      </c>
      <c r="W40" s="86" t="s">
        <v>273</v>
      </c>
      <c r="X40" s="86"/>
      <c r="Y40" s="86"/>
      <c r="Z40" s="86" t="s">
        <v>278</v>
      </c>
      <c r="AA40" s="86" t="s">
        <v>279</v>
      </c>
      <c r="AB40" s="87">
        <v>2141</v>
      </c>
      <c r="AC40" s="87">
        <v>76651</v>
      </c>
      <c r="AD40" s="86"/>
      <c r="AE40" s="93"/>
      <c r="AF40" s="93" t="s">
        <v>181</v>
      </c>
      <c r="AG40" s="93" t="s">
        <v>181</v>
      </c>
      <c r="AH40" s="93" t="s">
        <v>181</v>
      </c>
      <c r="AI40" s="93" t="s">
        <v>182</v>
      </c>
      <c r="AJ40" s="85" t="s">
        <v>269</v>
      </c>
      <c r="AK40" s="85" t="s">
        <v>269</v>
      </c>
      <c r="AL40" s="85" t="s">
        <v>269</v>
      </c>
      <c r="AM40" s="85" t="s">
        <v>173</v>
      </c>
      <c r="AN40" s="85" t="s">
        <v>269</v>
      </c>
      <c r="AO40" s="93" t="s">
        <v>183</v>
      </c>
      <c r="AP40" s="85" t="s">
        <v>269</v>
      </c>
      <c r="AQ40" s="93"/>
      <c r="AR40" s="93"/>
      <c r="AS40" s="93"/>
      <c r="AT40" s="93"/>
    </row>
    <row r="41" spans="1:46" x14ac:dyDescent="0.3">
      <c r="A41" s="93"/>
      <c r="B41" s="93" t="s">
        <v>371</v>
      </c>
      <c r="C41" s="93"/>
      <c r="D41" s="93" t="s">
        <v>258</v>
      </c>
      <c r="E41" s="85" t="s">
        <v>270</v>
      </c>
      <c r="F41" s="93" t="str">
        <f>Table1[[#This Row],[CEDS Element Name]]</f>
        <v>Metric Type</v>
      </c>
      <c r="G41" s="93"/>
      <c r="H41" s="93"/>
      <c r="I41" s="93"/>
      <c r="J41" s="103"/>
      <c r="K41" s="103"/>
      <c r="L41" s="93" t="s">
        <v>170</v>
      </c>
      <c r="M41" s="85" t="s">
        <v>269</v>
      </c>
      <c r="N41" s="85" t="s">
        <v>269</v>
      </c>
      <c r="O41" s="85" t="s">
        <v>173</v>
      </c>
      <c r="P41" s="85" t="s">
        <v>269</v>
      </c>
      <c r="Q41" s="93"/>
      <c r="R41" s="93"/>
      <c r="S41" s="93" t="s">
        <v>260</v>
      </c>
      <c r="T41" s="97" t="s">
        <v>257</v>
      </c>
      <c r="U41" s="86" t="s">
        <v>271</v>
      </c>
      <c r="V41" s="86" t="s">
        <v>272</v>
      </c>
      <c r="W41" s="86" t="s">
        <v>273</v>
      </c>
      <c r="X41" s="86"/>
      <c r="Y41" s="86"/>
      <c r="Z41" s="86" t="s">
        <v>280</v>
      </c>
      <c r="AA41" s="86" t="s">
        <v>281</v>
      </c>
      <c r="AB41" s="87">
        <v>2141</v>
      </c>
      <c r="AC41" s="87">
        <v>76651</v>
      </c>
      <c r="AD41" s="86"/>
      <c r="AE41" s="93"/>
      <c r="AF41" s="93" t="s">
        <v>181</v>
      </c>
      <c r="AG41" s="93" t="s">
        <v>181</v>
      </c>
      <c r="AH41" s="93" t="s">
        <v>181</v>
      </c>
      <c r="AI41" s="93" t="s">
        <v>182</v>
      </c>
      <c r="AJ41" s="85" t="s">
        <v>269</v>
      </c>
      <c r="AK41" s="85" t="s">
        <v>269</v>
      </c>
      <c r="AL41" s="85" t="s">
        <v>269</v>
      </c>
      <c r="AM41" s="85" t="s">
        <v>173</v>
      </c>
      <c r="AN41" s="85" t="s">
        <v>269</v>
      </c>
      <c r="AO41" s="93" t="s">
        <v>183</v>
      </c>
      <c r="AP41" s="85" t="s">
        <v>269</v>
      </c>
      <c r="AQ41" s="93"/>
      <c r="AR41" s="93"/>
      <c r="AS41" s="93"/>
      <c r="AT41" s="93"/>
    </row>
    <row r="42" spans="1:46" x14ac:dyDescent="0.3">
      <c r="A42" s="93"/>
      <c r="B42" s="93" t="s">
        <v>371</v>
      </c>
      <c r="C42" s="93"/>
      <c r="D42" s="93" t="s">
        <v>258</v>
      </c>
      <c r="E42" s="85" t="s">
        <v>270</v>
      </c>
      <c r="F42" s="93" t="str">
        <f>Table1[[#This Row],[CEDS Element Name]]</f>
        <v>Metric Type</v>
      </c>
      <c r="G42" s="93"/>
      <c r="H42" s="93"/>
      <c r="I42" s="93"/>
      <c r="J42" s="103"/>
      <c r="K42" s="103"/>
      <c r="L42" s="93" t="s">
        <v>170</v>
      </c>
      <c r="M42" s="85" t="s">
        <v>269</v>
      </c>
      <c r="N42" s="85" t="s">
        <v>269</v>
      </c>
      <c r="O42" s="85" t="s">
        <v>173</v>
      </c>
      <c r="P42" s="85" t="s">
        <v>269</v>
      </c>
      <c r="Q42" s="93"/>
      <c r="R42" s="93"/>
      <c r="S42" s="93" t="s">
        <v>260</v>
      </c>
      <c r="T42" s="97" t="s">
        <v>257</v>
      </c>
      <c r="U42" s="86" t="s">
        <v>271</v>
      </c>
      <c r="V42" s="86" t="s">
        <v>272</v>
      </c>
      <c r="W42" s="86" t="s">
        <v>273</v>
      </c>
      <c r="X42" s="86"/>
      <c r="Y42" s="86"/>
      <c r="Z42" s="86" t="s">
        <v>282</v>
      </c>
      <c r="AA42" s="86" t="s">
        <v>282</v>
      </c>
      <c r="AB42" s="87">
        <v>2141</v>
      </c>
      <c r="AC42" s="87">
        <v>76651</v>
      </c>
      <c r="AD42" s="86"/>
      <c r="AE42" s="93"/>
      <c r="AF42" s="93" t="s">
        <v>181</v>
      </c>
      <c r="AG42" s="93" t="s">
        <v>181</v>
      </c>
      <c r="AH42" s="93" t="s">
        <v>181</v>
      </c>
      <c r="AI42" s="93" t="s">
        <v>182</v>
      </c>
      <c r="AJ42" s="85" t="s">
        <v>269</v>
      </c>
      <c r="AK42" s="85" t="s">
        <v>269</v>
      </c>
      <c r="AL42" s="85" t="s">
        <v>269</v>
      </c>
      <c r="AM42" s="85" t="s">
        <v>173</v>
      </c>
      <c r="AN42" s="85" t="s">
        <v>269</v>
      </c>
      <c r="AO42" s="93" t="s">
        <v>183</v>
      </c>
      <c r="AP42" s="85" t="s">
        <v>269</v>
      </c>
      <c r="AQ42" s="93"/>
      <c r="AR42" s="93"/>
      <c r="AS42" s="93"/>
      <c r="AT42" s="93"/>
    </row>
    <row r="49" spans="26:27" x14ac:dyDescent="0.3">
      <c r="Z49"/>
      <c r="AA49"/>
    </row>
    <row r="50" spans="26:27" x14ac:dyDescent="0.3">
      <c r="Z50"/>
      <c r="AA50"/>
    </row>
    <row r="51" spans="26:27" x14ac:dyDescent="0.3">
      <c r="Z51"/>
      <c r="AA51"/>
    </row>
    <row r="52" spans="26:27" x14ac:dyDescent="0.3">
      <c r="Z52"/>
      <c r="AA52"/>
    </row>
    <row r="53" spans="26:27" x14ac:dyDescent="0.3">
      <c r="Z53"/>
      <c r="AA53"/>
    </row>
    <row r="54" spans="26:27" x14ac:dyDescent="0.3">
      <c r="Z54"/>
      <c r="AA54"/>
    </row>
  </sheetData>
  <mergeCells count="10">
    <mergeCell ref="AQ2:AT2"/>
    <mergeCell ref="Q2:S2"/>
    <mergeCell ref="A2:L2"/>
    <mergeCell ref="AI2:AJ2"/>
    <mergeCell ref="AB2:AE2"/>
    <mergeCell ref="U2:AA2"/>
    <mergeCell ref="AF2:AH2"/>
    <mergeCell ref="AK2:AN2"/>
    <mergeCell ref="AO2:AP2"/>
    <mergeCell ref="M2:P2"/>
  </mergeCells>
  <phoneticPr fontId="11" type="noConversion"/>
  <pageMargins left="0.25" right="0.25" top="0.75" bottom="0.75" header="0.3" footer="0.3"/>
  <pageSetup scale="14"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FB37F-FD84-4BB9-AA6A-1191D96369D8}">
  <dimension ref="A1:E8"/>
  <sheetViews>
    <sheetView zoomScale="70" zoomScaleNormal="70" workbookViewId="0">
      <selection activeCell="A10" sqref="A10"/>
    </sheetView>
  </sheetViews>
  <sheetFormatPr defaultRowHeight="15" customHeight="1" x14ac:dyDescent="0.3"/>
  <cols>
    <col min="1" max="1" width="44.6640625" bestFit="1" customWidth="1"/>
    <col min="2" max="2" width="54.5546875" bestFit="1" customWidth="1"/>
    <col min="3" max="3" width="18.5546875" customWidth="1"/>
    <col min="4" max="4" width="43.6640625" bestFit="1" customWidth="1"/>
    <col min="5" max="5" width="45.88671875" customWidth="1"/>
  </cols>
  <sheetData>
    <row r="1" spans="1:5" ht="18" x14ac:dyDescent="0.35">
      <c r="A1" s="119" t="s">
        <v>283</v>
      </c>
      <c r="B1" s="119"/>
      <c r="C1" s="119"/>
      <c r="D1" s="119"/>
    </row>
    <row r="2" spans="1:5" ht="18" x14ac:dyDescent="0.35">
      <c r="A2" s="119" t="s">
        <v>284</v>
      </c>
      <c r="B2" s="119"/>
      <c r="C2" s="119"/>
      <c r="D2" s="62"/>
    </row>
    <row r="3" spans="1:5" ht="14.4" x14ac:dyDescent="0.3">
      <c r="A3" s="63"/>
      <c r="B3" s="63"/>
      <c r="C3" s="63"/>
      <c r="D3" s="63"/>
    </row>
    <row r="4" spans="1:5" ht="14.4" x14ac:dyDescent="0.3">
      <c r="A4" s="106" t="s">
        <v>285</v>
      </c>
      <c r="B4" s="106" t="s">
        <v>286</v>
      </c>
      <c r="C4" s="106" t="s">
        <v>88</v>
      </c>
      <c r="D4" s="106" t="s">
        <v>287</v>
      </c>
      <c r="E4" s="107" t="s">
        <v>288</v>
      </c>
    </row>
    <row r="5" spans="1:5" ht="28.8" x14ac:dyDescent="0.3">
      <c r="A5" s="108" t="s">
        <v>368</v>
      </c>
      <c r="B5" s="108"/>
      <c r="C5" s="108"/>
      <c r="D5" s="98" t="s">
        <v>372</v>
      </c>
      <c r="E5" s="108"/>
    </row>
    <row r="6" spans="1:5" ht="28.8" x14ac:dyDescent="0.3">
      <c r="A6" s="108" t="s">
        <v>369</v>
      </c>
      <c r="B6" s="108"/>
      <c r="C6" s="108"/>
      <c r="D6" s="98" t="s">
        <v>373</v>
      </c>
      <c r="E6" s="108"/>
    </row>
    <row r="7" spans="1:5" ht="28.8" customHeight="1" x14ac:dyDescent="0.3">
      <c r="A7" s="108" t="s">
        <v>370</v>
      </c>
      <c r="B7" s="108"/>
      <c r="C7" s="108"/>
      <c r="D7" s="98" t="s">
        <v>374</v>
      </c>
      <c r="E7" s="108"/>
    </row>
    <row r="8" spans="1:5" ht="93" customHeight="1" x14ac:dyDescent="0.3">
      <c r="A8" s="108" t="s">
        <v>272</v>
      </c>
      <c r="B8" s="108" t="s">
        <v>376</v>
      </c>
      <c r="C8" s="109"/>
      <c r="D8" s="98" t="s">
        <v>377</v>
      </c>
      <c r="E8" s="98" t="s">
        <v>375</v>
      </c>
    </row>
  </sheetData>
  <mergeCells count="2">
    <mergeCell ref="A1:D1"/>
    <mergeCell ref="A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F0C2-97A7-4388-B9F7-F32BB2769CB6}">
  <sheetPr>
    <tabColor rgb="FFA3ABB7"/>
    <pageSetUpPr fitToPage="1"/>
  </sheetPr>
  <dimension ref="A1:H59"/>
  <sheetViews>
    <sheetView showGridLines="0" zoomScale="70" zoomScaleNormal="70" zoomScaleSheetLayoutView="100" workbookViewId="0"/>
  </sheetViews>
  <sheetFormatPr defaultColWidth="9.109375" defaultRowHeight="14.4" x14ac:dyDescent="0.3"/>
  <cols>
    <col min="1" max="1" width="2.6640625" customWidth="1"/>
    <col min="2" max="2" width="65.5546875" style="14" customWidth="1"/>
    <col min="3" max="3" width="2.5546875" style="1" customWidth="1"/>
    <col min="4" max="4" width="41.6640625" style="16" customWidth="1"/>
    <col min="5" max="5" width="32.33203125" style="1" customWidth="1"/>
    <col min="6" max="6" width="35.33203125" style="1" customWidth="1"/>
    <col min="7" max="7" width="104" style="1" customWidth="1"/>
    <col min="8" max="8" width="33.109375" style="1" customWidth="1"/>
    <col min="9" max="16384" width="9.109375" style="1"/>
  </cols>
  <sheetData>
    <row r="1" spans="1:8" s="30" customFormat="1" ht="15" customHeight="1" x14ac:dyDescent="0.4">
      <c r="A1" s="54"/>
      <c r="C1" s="31"/>
      <c r="D1" s="32"/>
    </row>
    <row r="2" spans="1:8" s="53" customFormat="1" ht="35.1" customHeight="1" x14ac:dyDescent="0.3">
      <c r="A2" s="50"/>
      <c r="D2" s="51" t="s">
        <v>27</v>
      </c>
      <c r="E2" s="51" t="s">
        <v>28</v>
      </c>
      <c r="F2" s="51" t="s">
        <v>29</v>
      </c>
      <c r="G2" s="52" t="s">
        <v>30</v>
      </c>
      <c r="H2" s="52" t="s">
        <v>31</v>
      </c>
    </row>
    <row r="3" spans="1:8" customFormat="1" ht="18" x14ac:dyDescent="0.35">
      <c r="B3" s="14"/>
      <c r="C3" s="1"/>
      <c r="D3" s="33" t="s">
        <v>32</v>
      </c>
      <c r="E3" s="33" t="s">
        <v>33</v>
      </c>
      <c r="F3" s="34"/>
      <c r="G3" s="33"/>
      <c r="H3" s="33"/>
    </row>
    <row r="4" spans="1:8" ht="60" customHeight="1" x14ac:dyDescent="0.35">
      <c r="D4" s="35"/>
      <c r="E4" s="43" t="s">
        <v>34</v>
      </c>
      <c r="F4" s="36" t="s">
        <v>35</v>
      </c>
      <c r="G4" s="37" t="s">
        <v>36</v>
      </c>
      <c r="H4" s="38" t="s">
        <v>37</v>
      </c>
    </row>
    <row r="5" spans="1:8" ht="60" customHeight="1" x14ac:dyDescent="0.3">
      <c r="D5" s="39"/>
      <c r="E5" s="43" t="s">
        <v>34</v>
      </c>
      <c r="F5" s="36" t="s">
        <v>38</v>
      </c>
      <c r="G5" s="37" t="s">
        <v>39</v>
      </c>
      <c r="H5" s="38" t="s">
        <v>37</v>
      </c>
    </row>
    <row r="6" spans="1:8" customFormat="1" ht="18" x14ac:dyDescent="0.35">
      <c r="B6" s="14"/>
      <c r="C6" s="1"/>
      <c r="D6" s="33" t="s">
        <v>40</v>
      </c>
      <c r="E6" s="33" t="s">
        <v>41</v>
      </c>
      <c r="F6" s="34"/>
      <c r="G6" s="33"/>
      <c r="H6" s="33"/>
    </row>
    <row r="7" spans="1:8" s="3" customFormat="1" ht="60" customHeight="1" x14ac:dyDescent="0.3">
      <c r="A7"/>
      <c r="D7" s="40"/>
      <c r="E7" s="41" t="s">
        <v>42</v>
      </c>
      <c r="F7" s="36" t="s">
        <v>43</v>
      </c>
      <c r="G7" s="41" t="s">
        <v>44</v>
      </c>
      <c r="H7" s="38" t="s">
        <v>45</v>
      </c>
    </row>
    <row r="8" spans="1:8" s="3" customFormat="1" ht="60" customHeight="1" x14ac:dyDescent="0.3">
      <c r="A8"/>
      <c r="D8" s="40"/>
      <c r="E8" s="41" t="s">
        <v>42</v>
      </c>
      <c r="F8" s="36" t="s">
        <v>46</v>
      </c>
      <c r="G8" s="41" t="s">
        <v>47</v>
      </c>
      <c r="H8" s="38" t="s">
        <v>48</v>
      </c>
    </row>
    <row r="9" spans="1:8" s="3" customFormat="1" ht="60" customHeight="1" x14ac:dyDescent="0.3">
      <c r="A9"/>
      <c r="D9" s="40"/>
      <c r="E9" s="41" t="s">
        <v>42</v>
      </c>
      <c r="F9" s="36" t="s">
        <v>49</v>
      </c>
      <c r="G9" s="41" t="s">
        <v>50</v>
      </c>
      <c r="H9" s="38" t="s">
        <v>51</v>
      </c>
    </row>
    <row r="10" spans="1:8" s="3" customFormat="1" ht="60" customHeight="1" x14ac:dyDescent="0.3">
      <c r="A10"/>
      <c r="D10" s="40"/>
      <c r="E10" s="41" t="s">
        <v>42</v>
      </c>
      <c r="F10" s="36" t="s">
        <v>52</v>
      </c>
      <c r="G10" s="41" t="s">
        <v>53</v>
      </c>
      <c r="H10" s="38" t="s">
        <v>54</v>
      </c>
    </row>
    <row r="11" spans="1:8" s="3" customFormat="1" ht="60" customHeight="1" x14ac:dyDescent="0.3">
      <c r="A11"/>
      <c r="D11" s="40"/>
      <c r="E11" s="41" t="s">
        <v>42</v>
      </c>
      <c r="F11" s="36" t="s">
        <v>55</v>
      </c>
      <c r="G11" s="41" t="s">
        <v>56</v>
      </c>
      <c r="H11" s="38" t="s">
        <v>57</v>
      </c>
    </row>
    <row r="12" spans="1:8" s="3" customFormat="1" ht="60" customHeight="1" x14ac:dyDescent="0.3">
      <c r="A12"/>
      <c r="D12" s="40"/>
      <c r="E12" s="41" t="s">
        <v>42</v>
      </c>
      <c r="F12" s="36" t="s">
        <v>58</v>
      </c>
      <c r="G12" s="41" t="s">
        <v>59</v>
      </c>
      <c r="H12" s="38" t="s">
        <v>29</v>
      </c>
    </row>
    <row r="13" spans="1:8" s="3" customFormat="1" ht="60" customHeight="1" x14ac:dyDescent="0.3">
      <c r="A13"/>
      <c r="D13" s="40"/>
      <c r="E13" s="41" t="s">
        <v>42</v>
      </c>
      <c r="F13" s="36" t="s">
        <v>60</v>
      </c>
      <c r="G13" s="41" t="s">
        <v>61</v>
      </c>
      <c r="H13" s="38" t="s">
        <v>62</v>
      </c>
    </row>
    <row r="14" spans="1:8" s="3" customFormat="1" ht="60" customHeight="1" x14ac:dyDescent="0.3">
      <c r="A14"/>
      <c r="D14" s="40"/>
      <c r="E14" s="41" t="s">
        <v>42</v>
      </c>
      <c r="F14" s="36" t="s">
        <v>63</v>
      </c>
      <c r="G14" s="41" t="s">
        <v>64</v>
      </c>
      <c r="H14" s="38" t="s">
        <v>65</v>
      </c>
    </row>
    <row r="15" spans="1:8" s="3" customFormat="1" ht="60" customHeight="1" x14ac:dyDescent="0.3">
      <c r="A15"/>
      <c r="D15" s="40"/>
      <c r="E15" s="41" t="s">
        <v>42</v>
      </c>
      <c r="F15" s="36" t="s">
        <v>66</v>
      </c>
      <c r="G15" s="41" t="s">
        <v>67</v>
      </c>
      <c r="H15" s="38" t="s">
        <v>68</v>
      </c>
    </row>
    <row r="16" spans="1:8" s="3" customFormat="1" ht="60" customHeight="1" x14ac:dyDescent="0.3">
      <c r="A16"/>
      <c r="D16" s="40"/>
      <c r="E16" s="41" t="s">
        <v>42</v>
      </c>
      <c r="F16" s="36" t="s">
        <v>69</v>
      </c>
      <c r="G16" s="41" t="s">
        <v>70</v>
      </c>
      <c r="H16" s="38" t="s">
        <v>71</v>
      </c>
    </row>
    <row r="17" spans="1:8" s="3" customFormat="1" ht="60" customHeight="1" x14ac:dyDescent="0.3">
      <c r="A17"/>
      <c r="D17" s="40"/>
      <c r="E17" s="41" t="s">
        <v>42</v>
      </c>
      <c r="F17" s="36" t="s">
        <v>72</v>
      </c>
      <c r="G17" s="41" t="s">
        <v>73</v>
      </c>
      <c r="H17" s="38" t="s">
        <v>74</v>
      </c>
    </row>
    <row r="18" spans="1:8" s="3" customFormat="1" ht="60" customHeight="1" x14ac:dyDescent="0.3">
      <c r="A18"/>
      <c r="D18" s="40"/>
      <c r="E18" s="41" t="s">
        <v>42</v>
      </c>
      <c r="F18" s="36" t="s">
        <v>75</v>
      </c>
      <c r="G18" s="41" t="s">
        <v>76</v>
      </c>
      <c r="H18" s="38" t="s">
        <v>77</v>
      </c>
    </row>
    <row r="19" spans="1:8" s="3" customFormat="1" ht="60" customHeight="1" x14ac:dyDescent="0.3">
      <c r="A19"/>
      <c r="D19" s="40"/>
      <c r="E19" s="41" t="s">
        <v>42</v>
      </c>
      <c r="F19" s="36" t="s">
        <v>78</v>
      </c>
      <c r="G19" s="41" t="s">
        <v>79</v>
      </c>
      <c r="H19" s="38" t="s">
        <v>80</v>
      </c>
    </row>
    <row r="20" spans="1:8" customFormat="1" ht="18" x14ac:dyDescent="0.35">
      <c r="B20" s="14"/>
      <c r="C20" s="1"/>
      <c r="D20" s="33" t="s">
        <v>81</v>
      </c>
      <c r="E20" s="59" t="s">
        <v>41</v>
      </c>
      <c r="F20" s="60"/>
      <c r="G20" s="59"/>
      <c r="H20" s="59"/>
    </row>
    <row r="21" spans="1:8" s="3" customFormat="1" ht="60" customHeight="1" x14ac:dyDescent="0.3">
      <c r="A21"/>
      <c r="D21" s="42"/>
      <c r="E21" s="41" t="s">
        <v>42</v>
      </c>
      <c r="F21" s="36" t="s">
        <v>82</v>
      </c>
      <c r="G21" s="41" t="s">
        <v>83</v>
      </c>
      <c r="H21" s="38"/>
    </row>
    <row r="22" spans="1:8" s="3" customFormat="1" ht="60" customHeight="1" x14ac:dyDescent="0.3">
      <c r="A22"/>
      <c r="D22" s="42"/>
      <c r="E22" s="41" t="s">
        <v>42</v>
      </c>
      <c r="F22" s="36" t="s">
        <v>84</v>
      </c>
      <c r="G22" s="41" t="s">
        <v>85</v>
      </c>
      <c r="H22" s="38"/>
    </row>
    <row r="23" spans="1:8" s="3" customFormat="1" ht="60" customHeight="1" x14ac:dyDescent="0.3">
      <c r="A23"/>
      <c r="D23" s="42"/>
      <c r="E23" s="41" t="s">
        <v>42</v>
      </c>
      <c r="F23" s="36" t="s">
        <v>86</v>
      </c>
      <c r="G23" s="41" t="s">
        <v>87</v>
      </c>
      <c r="H23" s="38" t="s">
        <v>88</v>
      </c>
    </row>
    <row r="24" spans="1:8" customFormat="1" ht="18" x14ac:dyDescent="0.35">
      <c r="B24" s="14"/>
      <c r="C24" s="1"/>
      <c r="D24" s="33" t="s">
        <v>89</v>
      </c>
      <c r="E24" s="59" t="s">
        <v>33</v>
      </c>
      <c r="F24" s="60"/>
      <c r="G24" s="59"/>
      <c r="H24" s="59"/>
    </row>
    <row r="25" spans="1:8" s="3" customFormat="1" ht="54" x14ac:dyDescent="0.3">
      <c r="A25"/>
      <c r="D25" s="43"/>
      <c r="E25" s="43" t="s">
        <v>34</v>
      </c>
      <c r="F25" s="36" t="s">
        <v>90</v>
      </c>
      <c r="G25" s="41" t="s">
        <v>91</v>
      </c>
      <c r="H25" s="38"/>
    </row>
    <row r="26" spans="1:8" customFormat="1" ht="18" x14ac:dyDescent="0.35">
      <c r="B26" s="14"/>
      <c r="C26" s="1"/>
      <c r="D26" s="33" t="s">
        <v>92</v>
      </c>
      <c r="E26" s="59" t="s">
        <v>93</v>
      </c>
      <c r="F26" s="60"/>
      <c r="G26" s="59"/>
      <c r="H26" s="59"/>
    </row>
    <row r="27" spans="1:8" s="3" customFormat="1" ht="65.099999999999994" customHeight="1" x14ac:dyDescent="0.3">
      <c r="A27"/>
      <c r="D27" s="44"/>
      <c r="E27" s="43" t="s">
        <v>34</v>
      </c>
      <c r="F27" s="36" t="s">
        <v>94</v>
      </c>
      <c r="G27" s="41" t="s">
        <v>95</v>
      </c>
      <c r="H27" s="38"/>
    </row>
    <row r="28" spans="1:8" s="3" customFormat="1" ht="65.099999999999994" customHeight="1" x14ac:dyDescent="0.3">
      <c r="A28"/>
      <c r="D28" s="44"/>
      <c r="E28" s="43" t="s">
        <v>34</v>
      </c>
      <c r="F28" s="36" t="s">
        <v>96</v>
      </c>
      <c r="G28" s="41" t="s">
        <v>97</v>
      </c>
      <c r="H28" s="38"/>
    </row>
    <row r="29" spans="1:8" s="3" customFormat="1" ht="65.099999999999994" customHeight="1" x14ac:dyDescent="0.3">
      <c r="A29"/>
      <c r="D29" s="44"/>
      <c r="E29" s="43" t="s">
        <v>34</v>
      </c>
      <c r="F29" s="36" t="s">
        <v>98</v>
      </c>
      <c r="G29" s="41" t="s">
        <v>99</v>
      </c>
      <c r="H29" s="38"/>
    </row>
    <row r="30" spans="1:8" s="3" customFormat="1" ht="65.099999999999994" customHeight="1" x14ac:dyDescent="0.3">
      <c r="A30"/>
      <c r="D30" s="44"/>
      <c r="E30" s="43" t="s">
        <v>34</v>
      </c>
      <c r="F30" s="36" t="s">
        <v>100</v>
      </c>
      <c r="G30" s="41" t="s">
        <v>101</v>
      </c>
      <c r="H30" s="38"/>
    </row>
    <row r="31" spans="1:8" s="3" customFormat="1" ht="65.099999999999994" customHeight="1" x14ac:dyDescent="0.3">
      <c r="A31"/>
      <c r="D31" s="44"/>
      <c r="E31" s="43" t="s">
        <v>34</v>
      </c>
      <c r="F31" s="36" t="s">
        <v>102</v>
      </c>
      <c r="G31" s="41" t="s">
        <v>103</v>
      </c>
      <c r="H31" s="38"/>
    </row>
    <row r="32" spans="1:8" s="3" customFormat="1" ht="90" x14ac:dyDescent="0.3">
      <c r="A32"/>
      <c r="D32" s="44"/>
      <c r="E32" s="43" t="s">
        <v>34</v>
      </c>
      <c r="F32" s="36" t="s">
        <v>104</v>
      </c>
      <c r="G32" s="41" t="s">
        <v>105</v>
      </c>
      <c r="H32" s="38"/>
    </row>
    <row r="33" spans="1:8" s="3" customFormat="1" ht="65.099999999999994" customHeight="1" x14ac:dyDescent="0.3">
      <c r="A33"/>
      <c r="D33" s="44"/>
      <c r="E33" s="43" t="s">
        <v>34</v>
      </c>
      <c r="F33" s="36" t="s">
        <v>106</v>
      </c>
      <c r="G33" s="41" t="s">
        <v>107</v>
      </c>
      <c r="H33" s="38"/>
    </row>
    <row r="34" spans="1:8" s="3" customFormat="1" ht="84" customHeight="1" x14ac:dyDescent="0.3">
      <c r="A34"/>
      <c r="D34" s="44"/>
      <c r="E34" s="43" t="s">
        <v>34</v>
      </c>
      <c r="F34" s="36" t="s">
        <v>108</v>
      </c>
      <c r="G34" s="41" t="s">
        <v>109</v>
      </c>
      <c r="H34" s="38"/>
    </row>
    <row r="35" spans="1:8" customFormat="1" ht="18" x14ac:dyDescent="0.35">
      <c r="B35" s="14"/>
      <c r="C35" s="1"/>
      <c r="D35" s="33" t="s">
        <v>110</v>
      </c>
      <c r="E35" s="33"/>
      <c r="F35" s="34"/>
      <c r="G35" s="33"/>
      <c r="H35" s="33"/>
    </row>
    <row r="36" spans="1:8" s="3" customFormat="1" ht="72" x14ac:dyDescent="0.3">
      <c r="A36"/>
      <c r="D36" s="40"/>
      <c r="E36" s="41" t="s">
        <v>34</v>
      </c>
      <c r="F36" s="36" t="s">
        <v>111</v>
      </c>
      <c r="G36" s="41" t="s">
        <v>112</v>
      </c>
      <c r="H36" s="38"/>
    </row>
    <row r="37" spans="1:8" s="3" customFormat="1" ht="126" x14ac:dyDescent="0.3">
      <c r="A37"/>
      <c r="D37" s="40"/>
      <c r="E37" s="41" t="s">
        <v>42</v>
      </c>
      <c r="F37" s="36" t="s">
        <v>113</v>
      </c>
      <c r="G37" s="41" t="s">
        <v>114</v>
      </c>
      <c r="H37" s="38"/>
    </row>
    <row r="38" spans="1:8" s="3" customFormat="1" ht="18" x14ac:dyDescent="0.3">
      <c r="A38"/>
      <c r="D38" s="40"/>
      <c r="E38" s="41"/>
      <c r="F38" s="36"/>
      <c r="G38" s="61" t="s">
        <v>115</v>
      </c>
      <c r="H38" s="38"/>
    </row>
    <row r="39" spans="1:8" s="3" customFormat="1" ht="180" x14ac:dyDescent="0.3">
      <c r="A39"/>
      <c r="D39" s="40"/>
      <c r="E39" s="41" t="s">
        <v>42</v>
      </c>
      <c r="F39" s="36" t="s">
        <v>116</v>
      </c>
      <c r="G39" s="41" t="s">
        <v>117</v>
      </c>
      <c r="H39" s="38"/>
    </row>
    <row r="40" spans="1:8" s="3" customFormat="1" ht="18" x14ac:dyDescent="0.3">
      <c r="A40"/>
      <c r="D40" s="40"/>
      <c r="E40" s="41"/>
      <c r="F40" s="36"/>
      <c r="G40" s="61" t="s">
        <v>115</v>
      </c>
      <c r="H40" s="38"/>
    </row>
    <row r="41" spans="1:8" customFormat="1" ht="18" x14ac:dyDescent="0.35">
      <c r="B41" s="14"/>
      <c r="C41" s="1"/>
      <c r="D41" s="33" t="s">
        <v>118</v>
      </c>
      <c r="E41" s="33"/>
      <c r="F41" s="34"/>
      <c r="G41" s="33"/>
      <c r="H41" s="33"/>
    </row>
    <row r="42" spans="1:8" s="3" customFormat="1" ht="36" x14ac:dyDescent="0.3">
      <c r="A42"/>
      <c r="D42" s="40"/>
      <c r="E42" s="41" t="s">
        <v>34</v>
      </c>
      <c r="F42" s="36" t="s">
        <v>119</v>
      </c>
      <c r="G42" s="41" t="s">
        <v>120</v>
      </c>
      <c r="H42" s="38"/>
    </row>
    <row r="43" spans="1:8" s="3" customFormat="1" ht="18" x14ac:dyDescent="0.3">
      <c r="A43"/>
      <c r="D43" s="40"/>
      <c r="E43" s="41"/>
      <c r="F43" s="36" t="s">
        <v>121</v>
      </c>
      <c r="G43" s="41" t="s">
        <v>47</v>
      </c>
      <c r="H43" s="38"/>
    </row>
    <row r="44" spans="1:8" s="3" customFormat="1" ht="18" x14ac:dyDescent="0.3">
      <c r="A44"/>
      <c r="D44" s="43"/>
      <c r="E44" s="41" t="s">
        <v>34</v>
      </c>
      <c r="F44" s="36" t="s">
        <v>122</v>
      </c>
      <c r="G44" s="41" t="s">
        <v>123</v>
      </c>
      <c r="H44" s="38"/>
    </row>
    <row r="45" spans="1:8" customFormat="1" ht="18" x14ac:dyDescent="0.35">
      <c r="B45" s="14"/>
      <c r="C45" s="1"/>
      <c r="D45" s="33" t="s">
        <v>124</v>
      </c>
      <c r="E45" s="59"/>
      <c r="F45" s="60"/>
      <c r="G45" s="59"/>
      <c r="H45" s="33"/>
    </row>
    <row r="46" spans="1:8" s="3" customFormat="1" ht="36" x14ac:dyDescent="0.3">
      <c r="A46"/>
      <c r="D46" s="40"/>
      <c r="E46" s="41" t="s">
        <v>34</v>
      </c>
      <c r="F46" s="36" t="s">
        <v>125</v>
      </c>
      <c r="G46" s="41" t="s">
        <v>126</v>
      </c>
      <c r="H46" s="38"/>
    </row>
    <row r="47" spans="1:8" s="3" customFormat="1" ht="36" x14ac:dyDescent="0.3">
      <c r="A47"/>
      <c r="D47" s="43"/>
      <c r="E47" s="41" t="s">
        <v>34</v>
      </c>
      <c r="F47" s="36" t="s">
        <v>127</v>
      </c>
      <c r="G47" s="41" t="s">
        <v>128</v>
      </c>
      <c r="H47" s="38"/>
    </row>
    <row r="48" spans="1:8" customFormat="1" ht="18" x14ac:dyDescent="0.35">
      <c r="B48" s="14"/>
      <c r="C48" s="1"/>
      <c r="D48" s="33" t="s">
        <v>129</v>
      </c>
      <c r="E48" s="59"/>
      <c r="F48" s="60"/>
      <c r="G48" s="59"/>
      <c r="H48" s="33"/>
    </row>
    <row r="49" spans="1:8" s="3" customFormat="1" ht="54" x14ac:dyDescent="0.3">
      <c r="A49"/>
      <c r="D49" s="40"/>
      <c r="E49" s="41" t="s">
        <v>34</v>
      </c>
      <c r="F49" s="36" t="s">
        <v>130</v>
      </c>
      <c r="G49" s="41" t="s">
        <v>131</v>
      </c>
      <c r="H49" s="38"/>
    </row>
    <row r="50" spans="1:8" s="3" customFormat="1" ht="36" x14ac:dyDescent="0.3">
      <c r="A50"/>
      <c r="D50" s="40"/>
      <c r="E50" s="41" t="s">
        <v>34</v>
      </c>
      <c r="F50" s="36" t="s">
        <v>132</v>
      </c>
      <c r="G50" s="41" t="s">
        <v>133</v>
      </c>
      <c r="H50" s="38"/>
    </row>
    <row r="51" spans="1:8" s="3" customFormat="1" ht="54" x14ac:dyDescent="0.3">
      <c r="A51"/>
      <c r="D51" s="40"/>
      <c r="E51" s="41" t="s">
        <v>34</v>
      </c>
      <c r="F51" s="36" t="s">
        <v>134</v>
      </c>
      <c r="G51" s="41" t="s">
        <v>135</v>
      </c>
      <c r="H51" s="38"/>
    </row>
    <row r="52" spans="1:8" s="3" customFormat="1" ht="36" x14ac:dyDescent="0.3">
      <c r="A52"/>
      <c r="D52" s="40"/>
      <c r="E52" s="41" t="s">
        <v>34</v>
      </c>
      <c r="F52" s="36" t="s">
        <v>136</v>
      </c>
      <c r="G52" s="41" t="s">
        <v>137</v>
      </c>
      <c r="H52" s="38"/>
    </row>
    <row r="53" spans="1:8" s="3" customFormat="1" ht="36" x14ac:dyDescent="0.3">
      <c r="A53"/>
      <c r="D53" s="40"/>
      <c r="E53" s="41" t="s">
        <v>34</v>
      </c>
      <c r="F53" s="36" t="s">
        <v>138</v>
      </c>
      <c r="G53" s="41" t="s">
        <v>139</v>
      </c>
      <c r="H53" s="38"/>
    </row>
    <row r="54" spans="1:8" s="3" customFormat="1" ht="36" x14ac:dyDescent="0.3">
      <c r="A54"/>
      <c r="D54" s="43"/>
      <c r="E54" s="41" t="s">
        <v>34</v>
      </c>
      <c r="F54" s="36" t="s">
        <v>140</v>
      </c>
      <c r="G54" s="41" t="s">
        <v>141</v>
      </c>
      <c r="H54" s="38"/>
    </row>
    <row r="55" spans="1:8" customFormat="1" ht="18" x14ac:dyDescent="0.35">
      <c r="B55" s="14"/>
      <c r="C55" s="1"/>
      <c r="D55" s="33" t="s">
        <v>142</v>
      </c>
      <c r="E55" s="59"/>
      <c r="F55" s="60"/>
      <c r="G55" s="59"/>
      <c r="H55" s="33"/>
    </row>
    <row r="56" spans="1:8" s="3" customFormat="1" ht="36" x14ac:dyDescent="0.3">
      <c r="A56"/>
      <c r="D56" s="45"/>
      <c r="E56" s="41" t="s">
        <v>42</v>
      </c>
      <c r="F56" s="36" t="s">
        <v>143</v>
      </c>
      <c r="G56" s="41" t="s">
        <v>144</v>
      </c>
      <c r="H56" s="38"/>
    </row>
    <row r="57" spans="1:8" s="3" customFormat="1" ht="72" x14ac:dyDescent="0.3">
      <c r="A57"/>
      <c r="D57" s="45"/>
      <c r="E57" s="41" t="s">
        <v>42</v>
      </c>
      <c r="F57" s="36" t="s">
        <v>145</v>
      </c>
      <c r="G57" s="41" t="s">
        <v>146</v>
      </c>
      <c r="H57" s="38"/>
    </row>
    <row r="58" spans="1:8" s="3" customFormat="1" ht="54" x14ac:dyDescent="0.3">
      <c r="A58"/>
      <c r="D58" s="45"/>
      <c r="E58" s="41" t="s">
        <v>42</v>
      </c>
      <c r="F58" s="36" t="s">
        <v>147</v>
      </c>
      <c r="G58" s="41" t="s">
        <v>148</v>
      </c>
      <c r="H58" s="38"/>
    </row>
    <row r="59" spans="1:8" s="3" customFormat="1" ht="18" x14ac:dyDescent="0.3">
      <c r="A59"/>
      <c r="D59" s="45"/>
      <c r="E59" s="41" t="s">
        <v>42</v>
      </c>
      <c r="F59" s="36" t="s">
        <v>149</v>
      </c>
      <c r="G59" s="41" t="s">
        <v>150</v>
      </c>
      <c r="H59" s="46"/>
    </row>
  </sheetData>
  <hyperlinks>
    <hyperlink ref="G38" r:id="rId1" display="https://ceds.ed.gov/PDFViewer.aspx?pdfFile=pdf/AlignModule-4-2-AligningElements-To-CEDS-V7.pdf&amp;category=%22Aligning%20Elements%20to%20CEDS%20-%20Part%202%20PDF%22" xr:uid="{8F4DE486-79DE-48F2-94CD-2920E301EB81}"/>
    <hyperlink ref="G40" r:id="rId2" display="https://ceds.ed.gov/PDFViewer.aspx?pdfFile=pdf/AlignModule-4-2-AligningElements-To-CEDS-V7.pdf&amp;category=%22Aligning%20Elements%20to%20CEDS%20-%20Part%202%20PDF%22" xr:uid="{7BD0BC37-EA5B-4D0C-8F3E-132301C37B6D}"/>
  </hyperlinks>
  <pageMargins left="0.25" right="0.25" top="0.75" bottom="0.75" header="0.3" footer="0.3"/>
  <pageSetup scale="51"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D9D8-E5B1-4292-B24C-D07CE19E2A07}">
  <sheetPr codeName="Sheet6"/>
  <dimension ref="A1:G20"/>
  <sheetViews>
    <sheetView showGridLines="0" zoomScale="70" zoomScaleNormal="70" workbookViewId="0">
      <selection activeCell="R30" sqref="R30"/>
    </sheetView>
  </sheetViews>
  <sheetFormatPr defaultRowHeight="14.4" x14ac:dyDescent="0.3"/>
  <cols>
    <col min="1" max="1" width="2.6640625" customWidth="1"/>
    <col min="2" max="2" width="65.5546875" customWidth="1"/>
    <col min="3" max="3" width="2.88671875" customWidth="1"/>
    <col min="4" max="4" width="15.5546875" customWidth="1"/>
    <col min="5" max="5" width="35.5546875" customWidth="1"/>
    <col min="6" max="7" width="90.6640625" customWidth="1"/>
  </cols>
  <sheetData>
    <row r="1" spans="1:7" ht="15" customHeight="1" x14ac:dyDescent="0.3">
      <c r="A1" s="56" t="s">
        <v>289</v>
      </c>
    </row>
    <row r="2" spans="1:7" s="49" customFormat="1" ht="35.1" customHeight="1" x14ac:dyDescent="0.3">
      <c r="D2" s="58" t="s">
        <v>290</v>
      </c>
      <c r="E2" s="58" t="s">
        <v>291</v>
      </c>
      <c r="F2" s="58" t="s">
        <v>292</v>
      </c>
      <c r="G2" s="58" t="s">
        <v>293</v>
      </c>
    </row>
    <row r="3" spans="1:7" ht="35.1" customHeight="1" x14ac:dyDescent="0.3">
      <c r="D3" s="48"/>
      <c r="E3" s="48"/>
      <c r="F3" s="48"/>
      <c r="G3" s="48"/>
    </row>
    <row r="4" spans="1:7" ht="35.1" customHeight="1" x14ac:dyDescent="0.3">
      <c r="D4" s="48"/>
      <c r="E4" s="48"/>
      <c r="F4" s="48"/>
      <c r="G4" s="48"/>
    </row>
    <row r="5" spans="1:7" ht="35.1" customHeight="1" x14ac:dyDescent="0.3">
      <c r="D5" s="48"/>
      <c r="E5" s="48"/>
      <c r="F5" s="48"/>
      <c r="G5" s="48"/>
    </row>
    <row r="6" spans="1:7" ht="35.1" customHeight="1" x14ac:dyDescent="0.3">
      <c r="D6" s="48"/>
      <c r="E6" s="48"/>
      <c r="F6" s="48"/>
      <c r="G6" s="48"/>
    </row>
    <row r="7" spans="1:7" ht="35.1" customHeight="1" x14ac:dyDescent="0.3">
      <c r="D7" s="48"/>
      <c r="E7" s="48"/>
      <c r="F7" s="48"/>
      <c r="G7" s="48"/>
    </row>
    <row r="8" spans="1:7" ht="35.1" customHeight="1" x14ac:dyDescent="0.3">
      <c r="D8" s="48"/>
      <c r="E8" s="48"/>
      <c r="F8" s="48"/>
      <c r="G8" s="48"/>
    </row>
    <row r="9" spans="1:7" ht="35.1" customHeight="1" x14ac:dyDescent="0.3">
      <c r="D9" s="48"/>
      <c r="E9" s="48"/>
      <c r="F9" s="48"/>
      <c r="G9" s="48"/>
    </row>
    <row r="10" spans="1:7" ht="35.1" customHeight="1" x14ac:dyDescent="0.3">
      <c r="D10" s="48"/>
      <c r="E10" s="48"/>
      <c r="F10" s="48"/>
      <c r="G10" s="48"/>
    </row>
    <row r="11" spans="1:7" ht="35.1" customHeight="1" x14ac:dyDescent="0.3">
      <c r="D11" s="48"/>
      <c r="E11" s="48"/>
      <c r="F11" s="48"/>
      <c r="G11" s="48"/>
    </row>
    <row r="12" spans="1:7" ht="35.1" customHeight="1" x14ac:dyDescent="0.3">
      <c r="D12" s="48"/>
      <c r="E12" s="48"/>
      <c r="F12" s="48"/>
      <c r="G12" s="48"/>
    </row>
    <row r="13" spans="1:7" ht="35.1" customHeight="1" x14ac:dyDescent="0.3">
      <c r="D13" s="48"/>
      <c r="E13" s="48"/>
      <c r="F13" s="48"/>
      <c r="G13" s="48"/>
    </row>
    <row r="14" spans="1:7" ht="35.1" customHeight="1" x14ac:dyDescent="0.3">
      <c r="D14" s="48"/>
      <c r="E14" s="48"/>
      <c r="F14" s="48"/>
      <c r="G14" s="48"/>
    </row>
    <row r="15" spans="1:7" ht="35.1" customHeight="1" x14ac:dyDescent="0.3">
      <c r="D15" s="48"/>
      <c r="E15" s="48"/>
      <c r="F15" s="48"/>
      <c r="G15" s="48"/>
    </row>
    <row r="16" spans="1:7" ht="35.1" customHeight="1" x14ac:dyDescent="0.3">
      <c r="D16" s="48"/>
      <c r="E16" s="48"/>
      <c r="F16" s="48"/>
      <c r="G16" s="48"/>
    </row>
    <row r="17" spans="4:7" ht="35.1" customHeight="1" x14ac:dyDescent="0.3">
      <c r="D17" s="48"/>
      <c r="E17" s="48"/>
      <c r="F17" s="48"/>
      <c r="G17" s="48"/>
    </row>
    <row r="18" spans="4:7" ht="35.1" customHeight="1" x14ac:dyDescent="0.3">
      <c r="D18" s="48"/>
      <c r="E18" s="48"/>
      <c r="F18" s="48"/>
      <c r="G18" s="48"/>
    </row>
    <row r="19" spans="4:7" ht="35.1" customHeight="1" x14ac:dyDescent="0.3">
      <c r="D19" s="48"/>
      <c r="E19" s="48"/>
      <c r="F19" s="48"/>
      <c r="G19" s="48"/>
    </row>
    <row r="20" spans="4:7" ht="35.1" customHeight="1" x14ac:dyDescent="0.3">
      <c r="D20" s="48"/>
      <c r="E20" s="48"/>
      <c r="F20" s="48"/>
      <c r="G20" s="4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14C7-AA7E-4100-A725-2FF00B7D10F5}">
  <sheetPr codeName="Sheet8"/>
  <dimension ref="A1:G20"/>
  <sheetViews>
    <sheetView showGridLines="0" zoomScale="70" zoomScaleNormal="70" workbookViewId="0">
      <selection activeCell="R30" sqref="R30"/>
    </sheetView>
  </sheetViews>
  <sheetFormatPr defaultRowHeight="14.4" x14ac:dyDescent="0.3"/>
  <cols>
    <col min="1" max="1" width="2.6640625" customWidth="1"/>
    <col min="2" max="2" width="65.5546875" customWidth="1"/>
    <col min="3" max="3" width="2.6640625" customWidth="1"/>
    <col min="4" max="4" width="15.5546875" customWidth="1"/>
    <col min="5" max="5" width="35.5546875" customWidth="1"/>
    <col min="6" max="7" width="90.5546875" customWidth="1"/>
  </cols>
  <sheetData>
    <row r="1" spans="1:7" ht="15" customHeight="1" x14ac:dyDescent="0.3">
      <c r="A1" s="54" t="s">
        <v>294</v>
      </c>
    </row>
    <row r="2" spans="1:7" ht="35.1" customHeight="1" x14ac:dyDescent="0.3">
      <c r="D2" s="58" t="s">
        <v>290</v>
      </c>
      <c r="E2" s="58" t="s">
        <v>291</v>
      </c>
      <c r="F2" s="58" t="s">
        <v>295</v>
      </c>
      <c r="G2" s="58" t="s">
        <v>293</v>
      </c>
    </row>
    <row r="3" spans="1:7" ht="35.1" customHeight="1" x14ac:dyDescent="0.3">
      <c r="D3" s="57"/>
      <c r="E3" s="48"/>
      <c r="F3" s="48"/>
      <c r="G3" s="48"/>
    </row>
    <row r="4" spans="1:7" ht="35.1" customHeight="1" x14ac:dyDescent="0.3">
      <c r="D4" s="57"/>
      <c r="E4" s="48"/>
      <c r="F4" s="48"/>
      <c r="G4" s="48"/>
    </row>
    <row r="5" spans="1:7" ht="35.1" customHeight="1" x14ac:dyDescent="0.3">
      <c r="D5" s="57"/>
      <c r="E5" s="48"/>
      <c r="F5" s="48"/>
      <c r="G5" s="48"/>
    </row>
    <row r="6" spans="1:7" ht="35.1" customHeight="1" x14ac:dyDescent="0.3">
      <c r="D6" s="57"/>
      <c r="E6" s="48"/>
      <c r="F6" s="48"/>
      <c r="G6" s="48"/>
    </row>
    <row r="7" spans="1:7" ht="35.1" customHeight="1" x14ac:dyDescent="0.3">
      <c r="D7" s="57"/>
      <c r="E7" s="48"/>
      <c r="F7" s="48"/>
      <c r="G7" s="48"/>
    </row>
    <row r="8" spans="1:7" ht="35.1" customHeight="1" x14ac:dyDescent="0.3">
      <c r="D8" s="57"/>
      <c r="E8" s="48"/>
      <c r="F8" s="48"/>
      <c r="G8" s="48"/>
    </row>
    <row r="9" spans="1:7" ht="35.1" customHeight="1" x14ac:dyDescent="0.3">
      <c r="D9" s="57"/>
      <c r="E9" s="48"/>
      <c r="F9" s="48"/>
      <c r="G9" s="48"/>
    </row>
    <row r="10" spans="1:7" ht="35.1" customHeight="1" x14ac:dyDescent="0.3">
      <c r="D10" s="57"/>
      <c r="E10" s="48"/>
      <c r="F10" s="48"/>
      <c r="G10" s="48"/>
    </row>
    <row r="11" spans="1:7" ht="35.1" customHeight="1" x14ac:dyDescent="0.3">
      <c r="D11" s="57"/>
      <c r="E11" s="48"/>
      <c r="F11" s="48"/>
      <c r="G11" s="48"/>
    </row>
    <row r="12" spans="1:7" ht="35.1" customHeight="1" x14ac:dyDescent="0.3">
      <c r="D12" s="57"/>
      <c r="E12" s="48"/>
      <c r="F12" s="48"/>
      <c r="G12" s="48"/>
    </row>
    <row r="13" spans="1:7" ht="35.1" customHeight="1" x14ac:dyDescent="0.3">
      <c r="D13" s="57"/>
      <c r="E13" s="48"/>
      <c r="F13" s="48"/>
      <c r="G13" s="48"/>
    </row>
    <row r="14" spans="1:7" ht="35.1" customHeight="1" x14ac:dyDescent="0.3">
      <c r="D14" s="57"/>
      <c r="E14" s="48"/>
      <c r="F14" s="48"/>
      <c r="G14" s="48"/>
    </row>
    <row r="15" spans="1:7" ht="35.1" customHeight="1" x14ac:dyDescent="0.3">
      <c r="D15" s="57"/>
      <c r="E15" s="48"/>
      <c r="F15" s="48"/>
      <c r="G15" s="48"/>
    </row>
    <row r="16" spans="1:7" ht="35.1" customHeight="1" x14ac:dyDescent="0.3">
      <c r="D16" s="57"/>
      <c r="E16" s="48"/>
      <c r="F16" s="48"/>
      <c r="G16" s="48"/>
    </row>
    <row r="17" spans="4:7" ht="35.1" customHeight="1" x14ac:dyDescent="0.3">
      <c r="D17" s="57"/>
      <c r="E17" s="48"/>
      <c r="F17" s="48"/>
      <c r="G17" s="48"/>
    </row>
    <row r="18" spans="4:7" ht="35.1" customHeight="1" x14ac:dyDescent="0.3">
      <c r="D18" s="57"/>
      <c r="E18" s="48"/>
      <c r="F18" s="48"/>
      <c r="G18" s="48"/>
    </row>
    <row r="19" spans="4:7" ht="35.1" customHeight="1" x14ac:dyDescent="0.3">
      <c r="D19" s="57"/>
      <c r="E19" s="48"/>
      <c r="F19" s="48"/>
      <c r="G19" s="48"/>
    </row>
    <row r="20" spans="4:7" ht="35.1" customHeight="1" x14ac:dyDescent="0.3">
      <c r="D20" s="57"/>
      <c r="E20" s="48"/>
      <c r="F20" s="48"/>
      <c r="G20" s="4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16C418B207A64FB9120F202481F06D" ma:contentTypeVersion="15" ma:contentTypeDescription="Create a new document." ma:contentTypeScope="" ma:versionID="9ce82714d48e080b549a94c08684a983">
  <xsd:schema xmlns:xsd="http://www.w3.org/2001/XMLSchema" xmlns:xs="http://www.w3.org/2001/XMLSchema" xmlns:p="http://schemas.microsoft.com/office/2006/metadata/properties" xmlns:ns2="8dc5747d-3021-4397-919f-ae4738a45f50" xmlns:ns3="0312c589-d2f5-4d6e-9fcd-d38b6d90001e" targetNamespace="http://schemas.microsoft.com/office/2006/metadata/properties" ma:root="true" ma:fieldsID="9032d1a1ba5de09b68f229b232e03c19" ns2:_="" ns3:_="">
    <xsd:import namespace="8dc5747d-3021-4397-919f-ae4738a45f50"/>
    <xsd:import namespace="0312c589-d2f5-4d6e-9fcd-d38b6d90001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DateDelivere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c5747d-3021-4397-919f-ae4738a45f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624be92-cd20-4743-bb81-736fea8f34e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DateDelivered" ma:index="21" nillable="true" ma:displayName="Date Delivered" ma:description="The date the checklist was submitted to meet the deliverable. " ma:format="DateOnly" ma:internalName="DateDelivered">
      <xsd:simpleType>
        <xsd:restriction base="dms:DateTim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12c589-d2f5-4d6e-9fcd-d38b6d90001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39ef35fa-b583-43b5-9a43-89f15b856416}" ma:internalName="TaxCatchAll" ma:showField="CatchAllData" ma:web="0312c589-d2f5-4d6e-9fcd-d38b6d9000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312c589-d2f5-4d6e-9fcd-d38b6d90001e" xsi:nil="true"/>
    <lcf76f155ced4ddcb4097134ff3c332f xmlns="8dc5747d-3021-4397-919f-ae4738a45f50">
      <Terms xmlns="http://schemas.microsoft.com/office/infopath/2007/PartnerControls"/>
    </lcf76f155ced4ddcb4097134ff3c332f>
    <DateDelivered xmlns="8dc5747d-3021-4397-919f-ae4738a45f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C2C683-DDB4-4E41-BCEF-20A4D17288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c5747d-3021-4397-919f-ae4738a45f50"/>
    <ds:schemaRef ds:uri="0312c589-d2f5-4d6e-9fcd-d38b6d9000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81FAA8-2A48-4FA7-A173-9E8D8B583836}">
  <ds:schemaRefs>
    <ds:schemaRef ds:uri="8dc5747d-3021-4397-919f-ae4738a45f50"/>
    <ds:schemaRef ds:uri="http://purl.org/dc/elements/1.1/"/>
    <ds:schemaRef ds:uri="http://www.w3.org/XML/1998/namespace"/>
    <ds:schemaRef ds:uri="http://schemas.microsoft.com/office/2006/metadata/properties"/>
    <ds:schemaRef ds:uri="0312c589-d2f5-4d6e-9fcd-d38b6d90001e"/>
    <ds:schemaRef ds:uri="http://schemas.microsoft.com/office/2006/documentManagement/types"/>
    <ds:schemaRef ds:uri="http://purl.org/dc/dcmitype/"/>
    <ds:schemaRef ds:uri="http://purl.org/dc/terms/"/>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EA0B44B3-A203-49C0-BE63-2AC3FA4C516B}">
  <ds:schemaRefs>
    <ds:schemaRef ds:uri="http://schemas.microsoft.com/sharepoint/v3/contenttype/forms"/>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Sign Off</vt:lpstr>
      <vt:lpstr>Introduction</vt:lpstr>
      <vt:lpstr>Instructions</vt:lpstr>
      <vt:lpstr>ETL Detail</vt:lpstr>
      <vt:lpstr>Missing Data</vt:lpstr>
      <vt:lpstr>Column Descriptions</vt:lpstr>
      <vt:lpstr>Change Log-ETL</vt:lpstr>
      <vt:lpstr>Technical Notes</vt:lpstr>
      <vt:lpstr>Instructions!Print_Area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Ruth Lett</cp:lastModifiedBy>
  <cp:revision/>
  <dcterms:created xsi:type="dcterms:W3CDTF">2016-09-20T19:24:43Z</dcterms:created>
  <dcterms:modified xsi:type="dcterms:W3CDTF">2026-01-15T22:06:42Z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0x0101002816C418B207A64FB9120F202481F06D</vt:lpwstr>
  </property>
  <property fmtid="{D5CDD505-2E9C-101B-9397-08002B2CF9AE}" pid="3" name="_dlc_DocIdItemGuid">
    <vt:lpwstr>3ac45f5c-f59f-488b-a39f-65b4e2379280</vt:lpwstr>
  </property>
  <property fmtid="{D5CDD505-2E9C-101B-9397-08002B2CF9AE}" pid="4" name="MediaServiceImageTags">
    <vt:lpwstr/>
  </property>
</Properties>
</file>