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22" documentId="8_{50E5FF9B-9F8D-4D69-91B4-C5B8FDB51D4D}" xr6:coauthVersionLast="47" xr6:coauthVersionMax="47" xr10:uidLastSave="{8962A053-B0D1-4765-BD43-02E4845BE4D3}"/>
  <bookViews>
    <workbookView xWindow="-108" yWindow="-108" windowWidth="23256" windowHeight="13896" tabRatio="709" activeTab="3" xr2:uid="{00000000-000D-0000-FFFF-FFFF00000000}"/>
  </bookViews>
  <sheets>
    <sheet name="Sign Off" sheetId="20" r:id="rId1"/>
    <sheet name="Introduction" sheetId="12" r:id="rId2"/>
    <sheet name="Instructions" sheetId="16" r:id="rId3"/>
    <sheet name="ETL Detail" sheetId="1" r:id="rId4"/>
    <sheet name="Missing Data" sheetId="19" r:id="rId5"/>
    <sheet name="Column Descriptions" sheetId="17"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8" i="1" l="1"/>
  <c r="T29" i="1"/>
  <c r="P29" i="1"/>
  <c r="O29" i="1"/>
  <c r="N29" i="1"/>
  <c r="M29" i="1"/>
  <c r="G29" i="1"/>
  <c r="F29" i="1"/>
  <c r="P28" i="1"/>
  <c r="O28" i="1"/>
  <c r="N28" i="1"/>
  <c r="M28" i="1"/>
  <c r="G28" i="1"/>
  <c r="F28" i="1"/>
  <c r="F26" i="1" l="1"/>
  <c r="F25" i="1"/>
  <c r="F22" i="1"/>
  <c r="F20" i="1"/>
  <c r="F4" i="1"/>
  <c r="F5" i="1"/>
  <c r="F6" i="1"/>
  <c r="F7" i="1"/>
  <c r="F8" i="1"/>
  <c r="F9" i="1"/>
  <c r="F10" i="1"/>
  <c r="F11" i="1"/>
  <c r="F12" i="1"/>
  <c r="F13" i="1"/>
  <c r="F14" i="1"/>
  <c r="F15" i="1"/>
  <c r="F16" i="1"/>
  <c r="F17" i="1"/>
  <c r="F18" i="1"/>
  <c r="F19" i="1"/>
  <c r="F21" i="1"/>
  <c r="F23" i="1"/>
  <c r="F24" i="1"/>
  <c r="F27" i="1"/>
  <c r="F30" i="1"/>
  <c r="F31" i="1"/>
  <c r="F32" i="1"/>
  <c r="F33" i="1"/>
  <c r="F34" i="1"/>
</calcChain>
</file>

<file path=xl/sharedStrings.xml><?xml version="1.0" encoding="utf-8"?>
<sst xmlns="http://schemas.openxmlformats.org/spreadsheetml/2006/main" count="1169" uniqueCount="379">
  <si>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</si>
  <si>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</si>
  <si>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</si>
  <si>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</si>
  <si>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</si>
  <si>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</si>
  <si>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</si>
  <si>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</si>
  <si>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</si>
  <si>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</si>
  <si>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</si>
  <si>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</si>
  <si>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</si>
  <si>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</si>
  <si>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</si>
  <si>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</si>
  <si>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</si>
  <si>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</si>
  <si>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</si>
  <si>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</si>
  <si>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</si>
  <si>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</si>
  <si>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</si>
  <si>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</si>
  <si>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</si>
  <si>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</si>
  <si>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</si>
  <si>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</si>
  <si>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</si>
  <si>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</si>
  <si>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</si>
  <si>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</si>
  <si>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</si>
  <si>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</si>
  <si>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</si>
  <si>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</si>
  <si>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</si>
  <si>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</si>
  <si>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</si>
  <si>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</si>
  <si>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</si>
  <si>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</si>
  <si>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</si>
  <si>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</si>
  <si>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</si>
  <si>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</si>
  <si>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</si>
  <si>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</si>
  <si>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</si>
  <si>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</si>
  <si>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</si>
  <si>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</si>
  <si>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</si>
  <si>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</si>
  <si>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</si>
  <si>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</si>
  <si>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</si>
  <si>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</si>
  <si>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</si>
  <si>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</si>
  <si>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</si>
  <si>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</si>
  <si>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</si>
  <si>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</si>
  <si>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</si>
  <si>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</si>
  <si>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</si>
  <si>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</si>
  <si>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</si>
  <si>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</si>
  <si>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</si>
  <si>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</si>
  <si>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</si>
  <si>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</si>
  <si>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</si>
  <si>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</si>
  <si>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</si>
  <si>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</si>
  <si>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</si>
  <si>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</si>
  <si>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</si>
  <si>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</si>
  <si>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</si>
  <si>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</si>
  <si>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</si>
  <si>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</si>
  <si>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</si>
  <si>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</si>
  <si>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</si>
  <si>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</si>
  <si>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</si>
  <si>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</si>
  <si>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</si>
  <si>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</si>
  <si>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</si>
  <si>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</si>
  <si>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</si>
  <si>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</si>
  <si>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</si>
  <si>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</si>
  <si>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</si>
  <si>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</si>
  <si>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</si>
  <si>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</si>
  <si>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</si>
  <si>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</si>
  <si>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</si>
  <si>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</si>
  <si>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</si>
  <si>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</si>
  <si>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</si>
  <si>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</si>
  <si>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</si>
  <si>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</si>
  <si>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rFont val="Calibri"/>
        <family val="2"/>
        <scheme val="minor"/>
      </rPr>
      <t>.</t>
    </r>
    <r>
      <rPr>
        <sz val="14"/>
        <color rgb="FFFF0000"/>
        <rFont val="Calibri"/>
        <family val="2"/>
        <scheme val="minor"/>
      </rPr>
      <t xml:space="preserve">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</si>
  <si>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</si>
  <si>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</si>
  <si>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</si>
  <si>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</si>
  <si>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</si>
  <si>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</si>
  <si>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</si>
  <si>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</si>
  <si>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</si>
  <si>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</si>
  <si>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</si>
  <si>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</si>
  <si>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</si>
  <si>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</si>
  <si>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</si>
  <si>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</si>
  <si>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</si>
  <si>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</si>
  <si>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</si>
  <si>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</si>
  <si>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</si>
  <si>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</si>
  <si>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</si>
  <si>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</si>
  <si>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</si>
  <si>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</si>
  <si>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</si>
  <si>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</si>
  <si>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</si>
  <si>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</si>
  <si>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</si>
  <si>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</si>
  <si>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</si>
  <si>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</si>
  <si>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</si>
  <si>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</si>
  <si>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Source System &amp; Element Details</t>
  </si>
  <si>
    <t>MSIS 2.0 Curated Zone</t>
  </si>
  <si>
    <t>Source to Generate Transformation</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</si>
  <si>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</si>
  <si>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</si>
  <si>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</si>
  <si>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</si>
  <si>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</si>
  <si>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</si>
  <si>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</si>
  <si>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</si>
  <si>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</si>
  <si>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Schema name</t>
  </si>
  <si>
    <t>Curated Zone Dimension Table Name</t>
  </si>
  <si>
    <t>Curated Zone Dimension Column Name</t>
  </si>
  <si>
    <t>Curated Zone Fact Table Name</t>
  </si>
  <si>
    <t>Curated Zone Fact Column Name</t>
  </si>
  <si>
    <r>
      <t>ED</t>
    </r>
    <r>
      <rPr>
        <b/>
        <i/>
        <sz val="12"/>
        <color theme="0"/>
        <rFont val="Calibri"/>
        <family val="2"/>
        <scheme val="minor"/>
      </rPr>
      <t xml:space="preserve">Facts </t>
    </r>
    <r>
      <rPr>
        <b/>
        <sz val="12"/>
        <color theme="0"/>
        <rFont val="Calibri"/>
        <family val="2"/>
        <scheme val="minor"/>
      </rPr>
      <t>File Spec Number(s)</t>
    </r>
  </si>
  <si>
    <t>A unique number or alphanumeric code assigned to a local education agency by a school system, a state, or other agency or entity.</t>
  </si>
  <si>
    <t>Office of Student Assessment</t>
  </si>
  <si>
    <t>DimLeas</t>
  </si>
  <si>
    <t>LeaIdentifierSea</t>
  </si>
  <si>
    <t>FactSchoolPerformanceIndicators</t>
  </si>
  <si>
    <t>LeaId</t>
  </si>
  <si>
    <t>The LEA's state identifier.  Links to OrganizationIdentfier where RefOrganizationIdentificationSystem.Code = "SEA" and RefOrganizationIdentifierType.Code = "001072" (LEA).</t>
  </si>
  <si>
    <t>FS199, FS200, FS201, FS202, FS205</t>
  </si>
  <si>
    <t>K12 -&gt; LEA -&gt; Identification</t>
  </si>
  <si>
    <t>Local Education Agency Identifier</t>
  </si>
  <si>
    <t>Alphanumeric</t>
  </si>
  <si>
    <t>40 characters maximum</t>
  </si>
  <si>
    <t>Generate</t>
  </si>
  <si>
    <t>SchoolPerformanceIndicators</t>
  </si>
  <si>
    <t>ReportEDFactsSchoolPerformanceIndicators</t>
  </si>
  <si>
    <t>ParentOrganizationStateId</t>
  </si>
  <si>
    <t>A unique number or alphanumeric code assigned to an institution by a school, school system, a state, or other agency or entity.</t>
  </si>
  <si>
    <t>DimK12Schools</t>
  </si>
  <si>
    <t>SchoolIdentifierSea</t>
  </si>
  <si>
    <t>K12SchoolId</t>
  </si>
  <si>
    <t>The school's state identifier.  Links to OrganizationIdentfier where RefOrganizationIdentificationSystem.Code = "SEA" and RefOrganizationIdentifierType.Code = "001073" (K12 School).</t>
  </si>
  <si>
    <t>K12 -&gt; K12 School -&gt; Identification</t>
  </si>
  <si>
    <t>School Identifier</t>
  </si>
  <si>
    <t xml:space="preserve">65588   </t>
  </si>
  <si>
    <t>OrganizationStateId</t>
  </si>
  <si>
    <t>SchoolYear</t>
  </si>
  <si>
    <t>The year for a reported school session.</t>
  </si>
  <si>
    <t>N/A - Not migrated to this data layer.</t>
  </si>
  <si>
    <t>K12 -&gt; Calendar -&gt; Session</t>
  </si>
  <si>
    <t>School Year</t>
  </si>
  <si>
    <t>65063</t>
  </si>
  <si>
    <t>ReportYear</t>
  </si>
  <si>
    <t>The origins of a person.</t>
  </si>
  <si>
    <t>AmericanIndianOrAlaskaNative</t>
  </si>
  <si>
    <t>DimRaces</t>
  </si>
  <si>
    <t>RaceCode</t>
  </si>
  <si>
    <t>RaceId</t>
  </si>
  <si>
    <t>FS199, FS200, FS201, FS202</t>
  </si>
  <si>
    <t>K12 -&gt; K12 Student -&gt; Demographic</t>
  </si>
  <si>
    <t>Race</t>
  </si>
  <si>
    <t xml:space="preserve">69548         </t>
  </si>
  <si>
    <t>ReportEdFactsSchoolPerformanceIndicators</t>
  </si>
  <si>
    <t>RACE</t>
  </si>
  <si>
    <t>Asian</t>
  </si>
  <si>
    <t>BlackOrAfricanAmerican</t>
  </si>
  <si>
    <t>DemographicRaceTwoOrMoreRaces</t>
  </si>
  <si>
    <t>NativeHawaiianorOtherPacificIslander</t>
  </si>
  <si>
    <t>White</t>
  </si>
  <si>
    <t>DimEconomicallyDisadvantagedStatuses</t>
  </si>
  <si>
    <t>EconomicDisadvantageStatusCode</t>
  </si>
  <si>
    <t>EconomicallyDisadvantagedStatusId</t>
  </si>
  <si>
    <t>K12 -&gt; K12 Student -&gt; Economically Disadvantaged</t>
  </si>
  <si>
    <t>Economic Disadvantage Status</t>
  </si>
  <si>
    <t>An indication that the student met the State criteria for classification as having an economic disadvantage.</t>
  </si>
  <si>
    <t>Yes</t>
  </si>
  <si>
    <t>65741</t>
  </si>
  <si>
    <t>EconomicDisadvantageStatus</t>
  </si>
  <si>
    <t>ECONOMICDISADVANTAGESTATUS</t>
  </si>
  <si>
    <t>No</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</si>
  <si>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</si>
  <si>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DimEnglishLearnerStatuses</t>
  </si>
  <si>
    <t>EnglishLearnerStatusCode</t>
  </si>
  <si>
    <t>EnglishLearnerStatusId</t>
  </si>
  <si>
    <t>K12 -&gt; K12 Student -&gt; English Learner</t>
  </si>
  <si>
    <t>English Learner Status</t>
  </si>
  <si>
    <t>65783</t>
  </si>
  <si>
    <t>EnglishLearnerStatus</t>
  </si>
  <si>
    <t>LEPSTATUS</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</si>
  <si>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</si>
  <si>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DimIdeaStatuses</t>
  </si>
  <si>
    <t>IdeaIndicatorCode</t>
  </si>
  <si>
    <t>IdeaStatusId</t>
  </si>
  <si>
    <t>K12 -&gt; K12 Student-&gt; Disability</t>
  </si>
  <si>
    <t>IDEA Indicator</t>
  </si>
  <si>
    <t xml:space="preserve">65771   </t>
  </si>
  <si>
    <t>IDEAIndicator</t>
  </si>
  <si>
    <t>DISABILITY</t>
  </si>
  <si>
    <t>K12 -&gt; K12Student -&gt; Disability</t>
  </si>
  <si>
    <t>Data Standard updates working through the OSC and will be updated when they are approved</t>
  </si>
  <si>
    <t>SchoolPerformanceIndicatorCategory</t>
  </si>
  <si>
    <t>DimSchoolPerformanceIndicatorCategories</t>
  </si>
  <si>
    <t>SchoolPerformanceIndicatorCategoryCode</t>
  </si>
  <si>
    <t>SchoolPerformanceIndicatorCategoryId</t>
  </si>
  <si>
    <t>SchoolPerformanceIndicatorType</t>
  </si>
  <si>
    <t>DimSchoolPerformanceIndicators</t>
  </si>
  <si>
    <t>SchoolPerformanceIndicatorTypeCode</t>
  </si>
  <si>
    <t>SchoolPerformanceIndicatorId</t>
  </si>
  <si>
    <t>INDICATORTYPE</t>
  </si>
  <si>
    <t>????</t>
  </si>
  <si>
    <t>MISSING</t>
  </si>
  <si>
    <t>IndicatorStatusCode</t>
  </si>
  <si>
    <t>Pending community approval in the CEDS OSC. https://github.com/CEDStandards/CEDS-Elements/issues/912</t>
  </si>
  <si>
    <t>NOSTUDENTS</t>
  </si>
  <si>
    <t>No students in the subgroup</t>
  </si>
  <si>
    <t>SchoolPerformanceIndicatorStatus</t>
  </si>
  <si>
    <t>DimIndicatorStatuses</t>
  </si>
  <si>
    <t>STTDEF</t>
  </si>
  <si>
    <t>State defined status</t>
  </si>
  <si>
    <t>TOOFEW</t>
  </si>
  <si>
    <t>Too few students</t>
  </si>
  <si>
    <t>Pending</t>
  </si>
  <si>
    <t>MISSING Generate ETL information (Metric Type)</t>
  </si>
  <si>
    <t>Implementation Variables -&gt; Report</t>
  </si>
  <si>
    <t>Metric Type</t>
  </si>
  <si>
    <t xml:space="preserve">The measurement scale or level of measurement for a variable. </t>
  </si>
  <si>
    <t>NominalMetNotMet</t>
  </si>
  <si>
    <t>Nominal data - Met/not met</t>
  </si>
  <si>
    <t>OrdinalPerformanceLevel</t>
  </si>
  <si>
    <t>Ordinal data - Performance levels</t>
  </si>
  <si>
    <t>IntervalPercentageScale</t>
  </si>
  <si>
    <t>Interval data - Percentage scale (i.e., 0% to 100%)</t>
  </si>
  <si>
    <t>IntervalIndex</t>
  </si>
  <si>
    <t>Interval data - Index</t>
  </si>
  <si>
    <t>Other</t>
  </si>
  <si>
    <t xml:space="preserve">During the review process, the information below was not available in the ODS_SIS. MDE staff will populate the information when it is available. </t>
  </si>
  <si>
    <t>Missing data in the ETL tab has been clearly marked.</t>
  </si>
  <si>
    <t>Element</t>
  </si>
  <si>
    <t>Missing Information</t>
  </si>
  <si>
    <t>MISSING FROM CEDS</t>
  </si>
  <si>
    <t>Missing from Generate ETL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</si>
  <si>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</si>
  <si>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</si>
  <si>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</si>
  <si>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</si>
  <si>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</si>
  <si>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</si>
  <si>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</si>
  <si>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IndicatorStatusId</t>
  </si>
  <si>
    <t>INDICATORSTATUS</t>
  </si>
  <si>
    <t>MAN</t>
  </si>
  <si>
    <t>MA</t>
  </si>
  <si>
    <t>MB</t>
  </si>
  <si>
    <t>MNP</t>
  </si>
  <si>
    <t>MW</t>
  </si>
  <si>
    <t>MM</t>
  </si>
  <si>
    <t>Hispanic</t>
  </si>
  <si>
    <t>MHL</t>
  </si>
  <si>
    <t>amogroup</t>
  </si>
  <si>
    <t>aar_amo_proficiency</t>
  </si>
  <si>
    <t>mderep</t>
  </si>
  <si>
    <t>else 'STTDEF'</t>
  </si>
  <si>
    <t>distid</t>
  </si>
  <si>
    <t>CONCAT(a.distid, a.sch)</t>
  </si>
  <si>
    <t xml:space="preserve">American Indian \ Alaska Native \ Native American </t>
  </si>
  <si>
    <t>Asian MAP – Asian \ Pacific Islander</t>
  </si>
  <si>
    <t>Black (not Hispanic) African American</t>
  </si>
  <si>
    <t>Hispanic \ Latino</t>
  </si>
  <si>
    <t>Multicultural \ Multiethnic \ Multiracial \ other</t>
  </si>
  <si>
    <t>Native Hawaiian \ other Pacific Islander \ Pacific Islander</t>
  </si>
  <si>
    <t>White (not Hispanic) \ Caucasian</t>
  </si>
  <si>
    <t>N/A</t>
  </si>
  <si>
    <t>ECODIS</t>
  </si>
  <si>
    <t>amogroup = 11</t>
  </si>
  <si>
    <t>LEP</t>
  </si>
  <si>
    <t>Economically Disadvantaged (ED) Students</t>
  </si>
  <si>
    <t>English learners</t>
  </si>
  <si>
    <t>Children with one or more 
disabilities (IDEA)</t>
  </si>
  <si>
    <t>WDIS</t>
  </si>
  <si>
    <t>amogroup = 13</t>
  </si>
  <si>
    <t>amogroup = 12</t>
  </si>
  <si>
    <t>AAM</t>
  </si>
  <si>
    <t>AAM01</t>
  </si>
  <si>
    <t>Academic Achievement Measure</t>
  </si>
  <si>
    <t>Academic Achievement Measure 1</t>
  </si>
  <si>
    <t>AAM02</t>
  </si>
  <si>
    <t>Academic Achievement Measure 2</t>
  </si>
  <si>
    <t>Type of School Performance Indicator (GRM, AAM, OAM, IND, PAELP).</t>
  </si>
  <si>
    <t>prof_mth_den, prof_rla_den</t>
  </si>
  <si>
    <t>amogroup = 2</t>
  </si>
  <si>
    <t>amogroup = 3</t>
  </si>
  <si>
    <t>amogroup = 4</t>
  </si>
  <si>
    <t>amogroup = 5</t>
  </si>
  <si>
    <t>amogroup = 7</t>
  </si>
  <si>
    <t>amogroup = 6</t>
  </si>
  <si>
    <t>amogroup = 8</t>
  </si>
  <si>
    <t>schyr</t>
  </si>
  <si>
    <t xml:space="preserve">prof_mth_pct </t>
  </si>
  <si>
    <t xml:space="preserve">prof_rla_pct </t>
  </si>
  <si>
    <t>prof_rla_den is not null</t>
  </si>
  <si>
    <t>prof_mth_den is not null</t>
  </si>
  <si>
    <t>FS200</t>
  </si>
  <si>
    <t>All indicators have additional requirements beyond those specified in the "Selection Criteria" for the element. Specifically, select the current school year from mderep.aar_amo_proficiency, there must be a corresponding record in mderep.aar_impact_data_results (when joining on school_year, district_number, and school_number) and there are a small number of districts excluded in legacy code (which may not need to be specified in Generate assuming the correct loading of directory data).</t>
  </si>
  <si>
    <t xml:space="preserve">prof_mth_pct is null then 'TOOFEW' </t>
  </si>
  <si>
    <t xml:space="preserve">prof_rla_pct is null then 'TOOFEW' </t>
  </si>
  <si>
    <t>The element logic varies by indicator.  This is the logic for AAM01.</t>
  </si>
  <si>
    <t>The element logic varies by indicator.  This is the logic for AAM02.</t>
  </si>
  <si>
    <t>Indicator number (GRM01, GRM02, GRM03, AAM01, AAM02, AAM03, etc.)</t>
  </si>
  <si>
    <t>Statuses for academic 
achievement.</t>
  </si>
  <si>
    <t>School Performance Indicator Category</t>
  </si>
  <si>
    <t>School Performance Indicator Type</t>
  </si>
  <si>
    <t>School Performance Indicator Status</t>
  </si>
  <si>
    <t>Unknown</t>
  </si>
  <si>
    <t>Type of School Performance Indicator (Expected options: GRM, AAM, OAM, IND, PAELP).</t>
  </si>
  <si>
    <t>Indicator number (Expected options: GRM01, GRM02, GRM03, AAM01, AAM02, AAM03, etc.)</t>
  </si>
  <si>
    <t>Expected options: TOOFEW, STTDEF, NOSTUDENTS</t>
  </si>
  <si>
    <t>This element will not be used in Generate but will need to be set in the metadata survey.</t>
  </si>
  <si>
    <t>CEDS definition is pending an update (see OSC ticket).</t>
  </si>
  <si>
    <t xml:space="preserve">Expected options: Nominal data - Met/not met, Ordinal data - Performance levels, Interval data - Percentage scale (i.e., 0% to 100%), Interval data - Index, Other
https://github.com/CEDStandards/CEDS-Elements/issues/912 </t>
  </si>
  <si>
    <t>DimSchoolYears</t>
  </si>
  <si>
    <t>SchoolYearId</t>
  </si>
  <si>
    <t>DimSchoolYearId</t>
  </si>
  <si>
    <t>SchoolPerformanceIndicatorStateDefinedStatusCode</t>
  </si>
  <si>
    <t>DimSchoolPerformanceIndicatorStateDefinedStatuses</t>
  </si>
  <si>
    <t>SchoolPerformanceIndicatorStateDefinedStatusId</t>
  </si>
  <si>
    <t>STATEDDEFINEDSTATUSCODE</t>
  </si>
  <si>
    <t>School Performance Indicator State Defined Status Code</t>
  </si>
  <si>
    <t>The state defined indicator status.Required when STTDEF permitted value above is used.</t>
  </si>
  <si>
    <t>SchoolPerformanceIndicatorStateDefinedStatus</t>
  </si>
  <si>
    <t>FS200 Academic Achievement Indicator Status ETL Detail</t>
  </si>
  <si>
    <t>Name of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</si>
</sst>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8"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sz val="16"/>
      <color rgb="FF000000"/>
      <name val="Calibri"/>
      <family val="2"/>
      <scheme val="minor"/>
    </font>
    <font>
      <sz val="11"/>
      <color rgb="FF0000CC"/>
      <name val="Calibri"/>
      <family val="2"/>
      <scheme val="minor"/>
    </font>
    <font>
      <sz val="11"/>
      <name val="Calibri"/>
      <family val="2"/>
      <scheme val="minor"/>
    </font>
    <font>
      <sz val="14"/>
      <name val="Calibri"/>
      <family val="2"/>
      <scheme val="minor"/>
    </font>
    <font>
      <b/>
      <sz val="11"/>
      <color theme="1"/>
      <name val="Calibri"/>
      <family val="2"/>
      <scheme val="minor"/>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theme="0" tint="-0.249977111117893"/>
        <bgColor indexed="64"/>
      </patternFill>
    </fill>
    <fill>
      <patternFill patternType="solid">
        <fgColor rgb="FFD6DCE4"/>
        <bgColor rgb="FF000000"/>
      </patternFill>
    </fill>
    <fill>
      <patternFill patternType="solid">
        <fgColor theme="1" tint="0.249977111117893"/>
        <bgColor indexed="64"/>
      </patternFill>
    </fill>
    <fill>
      <patternFill patternType="solid">
        <fgColor theme="3" tint="0.79998168889431442"/>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19">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1" fillId="0" borderId="0" xfId="0" applyFont="1"/>
    <xf numFmtId="0" fontId="52" fillId="0" borderId="0" xfId="0" applyFont="1"/>
    <xf numFmtId="0" fontId="53" fillId="0" borderId="0" xfId="0" applyFont="1"/>
    <xf numFmtId="0" fontId="0" fillId="0" borderId="0" xfId="0" applyAlignment="1">
      <alignment wrapText="1"/>
    </xf>
    <xf numFmtId="0" fontId="0" fillId="0" borderId="0" xfId="0" applyAlignment="1">
      <alignment horizontal="left" wrapText="1"/>
    </xf>
    <xf numFmtId="0" fontId="46" fillId="0" borderId="7" xfId="0" applyFont="1" applyBorder="1" applyAlignment="1">
      <alignment horizontal="centerContinuous"/>
    </xf>
    <xf numFmtId="0" fontId="42" fillId="0" borderId="0" xfId="0"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Alignment="1">
      <alignment horizontal="center" vertical="center"/>
    </xf>
    <xf numFmtId="0" fontId="42" fillId="0" borderId="2" xfId="0" applyFont="1" applyBorder="1" applyAlignment="1">
      <alignment horizontal="center" vertical="center"/>
    </xf>
    <xf numFmtId="0" fontId="42" fillId="0" borderId="8" xfId="0" applyFont="1" applyBorder="1" applyAlignment="1">
      <alignment horizontal="center" vertical="center" wrapText="1"/>
    </xf>
    <xf numFmtId="0" fontId="48" fillId="0" borderId="4" xfId="0" applyFont="1" applyBorder="1" applyAlignment="1">
      <alignment horizontal="center" vertical="center" wrapText="1"/>
    </xf>
    <xf numFmtId="0" fontId="42" fillId="0" borderId="4" xfId="0" applyFont="1" applyBorder="1" applyAlignment="1">
      <alignment horizontal="center" vertical="center" wrapText="1"/>
    </xf>
    <xf numFmtId="0" fontId="0" fillId="0" borderId="0" xfId="0" applyAlignment="1">
      <alignment vertical="top" wrapText="1"/>
    </xf>
    <xf numFmtId="0" fontId="52" fillId="0" borderId="0" xfId="0" applyFont="1" applyAlignment="1">
      <alignment vertical="top" wrapText="1"/>
    </xf>
    <xf numFmtId="0" fontId="55" fillId="0" borderId="0" xfId="0" applyFont="1" applyAlignment="1">
      <alignment vertical="top" wrapText="1"/>
    </xf>
    <xf numFmtId="0" fontId="52" fillId="0" borderId="9" xfId="0" applyFont="1" applyBorder="1" applyAlignment="1">
      <alignment vertical="top" wrapText="1"/>
    </xf>
    <xf numFmtId="49" fontId="55" fillId="0" borderId="0" xfId="0" applyNumberFormat="1" applyFont="1" applyAlignment="1">
      <alignment horizontal="left" vertical="top" wrapText="1"/>
    </xf>
    <xf numFmtId="49" fontId="55" fillId="0" borderId="0" xfId="0" applyNumberFormat="1" applyFont="1" applyAlignment="1">
      <alignment horizontal="right" vertical="top" wrapText="1"/>
    </xf>
    <xf numFmtId="0" fontId="52" fillId="7" borderId="0" xfId="0" applyFont="1" applyFill="1" applyAlignment="1">
      <alignment vertical="top" wrapText="1"/>
    </xf>
    <xf numFmtId="0" fontId="52" fillId="7" borderId="0" xfId="0" applyFont="1" applyFill="1" applyAlignment="1">
      <alignment vertical="top"/>
    </xf>
    <xf numFmtId="0" fontId="55" fillId="7" borderId="0" xfId="0" applyFont="1" applyFill="1" applyAlignment="1">
      <alignment horizontal="left" vertical="top" wrapText="1"/>
    </xf>
    <xf numFmtId="0" fontId="55" fillId="7" borderId="0" xfId="0" applyFont="1" applyFill="1" applyAlignment="1">
      <alignment horizontal="right" vertical="top" wrapText="1"/>
    </xf>
    <xf numFmtId="0" fontId="54" fillId="8" borderId="0" xfId="0" applyFont="1" applyFill="1" applyAlignment="1">
      <alignment vertical="top" wrapText="1"/>
    </xf>
    <xf numFmtId="0" fontId="52" fillId="8" borderId="0" xfId="0" applyFont="1" applyFill="1" applyAlignment="1">
      <alignment vertical="top" wrapText="1"/>
    </xf>
    <xf numFmtId="164" fontId="52" fillId="8" borderId="0" xfId="0" applyNumberFormat="1" applyFont="1" applyFill="1" applyAlignment="1">
      <alignment horizontal="right" vertical="top"/>
    </xf>
    <xf numFmtId="0" fontId="55" fillId="7" borderId="0" xfId="0" applyFont="1" applyFill="1" applyAlignment="1">
      <alignment vertical="top" wrapText="1"/>
    </xf>
    <xf numFmtId="164" fontId="52" fillId="0" borderId="0" xfId="0" applyNumberFormat="1" applyFont="1" applyAlignment="1">
      <alignment horizontal="right" vertical="top"/>
    </xf>
    <xf numFmtId="49" fontId="52" fillId="0" borderId="0" xfId="0" applyNumberFormat="1" applyFont="1" applyAlignment="1">
      <alignment horizontal="right" vertical="top"/>
    </xf>
    <xf numFmtId="164" fontId="0" fillId="0" borderId="0" xfId="0" applyNumberFormat="1" applyAlignment="1">
      <alignment horizontal="right" vertical="top"/>
    </xf>
    <xf numFmtId="0" fontId="0" fillId="0" borderId="0" xfId="0" applyAlignment="1">
      <alignment vertical="top"/>
    </xf>
    <xf numFmtId="0" fontId="0" fillId="8" borderId="0" xfId="0" applyFill="1" applyAlignment="1">
      <alignment vertical="top" wrapText="1"/>
    </xf>
    <xf numFmtId="49" fontId="55" fillId="6" borderId="0" xfId="0" applyNumberFormat="1" applyFont="1" applyFill="1" applyAlignment="1">
      <alignment horizontal="left" vertical="top" wrapText="1"/>
    </xf>
    <xf numFmtId="0" fontId="52" fillId="9" borderId="9" xfId="0" applyFont="1" applyFill="1" applyBorder="1" applyAlignment="1">
      <alignment vertical="top" wrapText="1"/>
    </xf>
    <xf numFmtId="0" fontId="52" fillId="0" borderId="0" xfId="0" applyFont="1" applyAlignment="1">
      <alignment horizontal="left" vertical="top" wrapText="1"/>
    </xf>
    <xf numFmtId="49" fontId="0" fillId="8" borderId="0" xfId="0" applyNumberFormat="1" applyFill="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xf>
    <xf numFmtId="0" fontId="52" fillId="7" borderId="0" xfId="0" applyFont="1" applyFill="1" applyAlignment="1">
      <alignment horizontal="left" vertical="top" wrapText="1"/>
    </xf>
    <xf numFmtId="0" fontId="52" fillId="0" borderId="9" xfId="0" applyFont="1" applyBorder="1" applyAlignment="1">
      <alignment horizontal="left" vertical="top" wrapText="1"/>
    </xf>
    <xf numFmtId="0" fontId="0" fillId="8" borderId="0" xfId="0" applyFill="1" applyAlignment="1">
      <alignment horizontal="left" vertical="top" wrapText="1"/>
    </xf>
    <xf numFmtId="0" fontId="0" fillId="0" borderId="9" xfId="0" applyBorder="1" applyAlignment="1">
      <alignment wrapText="1"/>
    </xf>
    <xf numFmtId="0" fontId="55" fillId="0" borderId="0" xfId="0" applyFont="1" applyAlignment="1">
      <alignment horizontal="left" vertical="top" wrapText="1"/>
    </xf>
    <xf numFmtId="0" fontId="45" fillId="0" borderId="3" xfId="0" applyFont="1" applyBorder="1" applyAlignment="1">
      <alignment horizontal="left"/>
    </xf>
    <xf numFmtId="0" fontId="51" fillId="0" borderId="13" xfId="0" applyFont="1" applyBorder="1"/>
    <xf numFmtId="0" fontId="57" fillId="0" borderId="13" xfId="0" applyFont="1" applyBorder="1"/>
    <xf numFmtId="0" fontId="0" fillId="0" borderId="0" xfId="0" applyAlignment="1">
      <alignment horizontal="left" vertical="top"/>
    </xf>
    <xf numFmtId="0" fontId="10" fillId="0" borderId="0" xfId="1" applyAlignment="1">
      <alignment horizontal="left" vertical="top" wrapText="1"/>
    </xf>
    <xf numFmtId="14" fontId="0" fillId="0" borderId="0" xfId="0" applyNumberFormat="1"/>
    <xf numFmtId="0" fontId="0" fillId="3" borderId="0" xfId="0" applyFill="1" applyAlignment="1">
      <alignment horizontal="left" vertical="top"/>
    </xf>
    <xf numFmtId="0" fontId="46" fillId="0" borderId="10" xfId="0" applyFont="1" applyBorder="1" applyAlignment="1">
      <alignment horizontal="center"/>
    </xf>
    <xf numFmtId="0" fontId="46" fillId="0" borderId="11" xfId="0" applyFont="1" applyBorder="1" applyAlignment="1">
      <alignment horizontal="center"/>
    </xf>
    <xf numFmtId="0" fontId="46" fillId="0" borderId="12" xfId="0" applyFont="1" applyBorder="1" applyAlignment="1">
      <alignment horizontal="center"/>
    </xf>
    <xf numFmtId="0" fontId="46" fillId="0" borderId="5"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50" fillId="0" borderId="0" xfId="0" applyFont="1" applyAlignment="1">
      <alignment horizontal="left"/>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numFmt numFmtId="30" formatCode="@"/>
      <fill>
        <patternFill patternType="none">
          <bgColor auto="1"/>
        </patternFill>
      </fill>
      <alignment horizontal="right" vertical="top" textRotation="0" wrapText="1" indent="0" justifyLastLine="0" shrinkToFit="0" readingOrder="0"/>
    </dxf>
    <dxf>
      <font>
        <strike val="0"/>
        <outline val="0"/>
        <shadow val="0"/>
        <u val="none"/>
        <vertAlign val="baseline"/>
        <sz val="11"/>
        <name val="Calibri"/>
        <family val="2"/>
        <scheme val="minor"/>
      </font>
      <numFmt numFmtId="164" formatCode="000000"/>
      <fill>
        <patternFill patternType="none">
          <bgColor auto="1"/>
        </patternFill>
      </fill>
      <alignment horizontal="right" vertical="top" textRotation="0" wrapText="0"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numFmt numFmtId="0" formatCode="General"/>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1246157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317500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include as much detail as possible about what was changed, what initiated the change, and why it was changed.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34" totalsRowShown="0" headerRowDxfId="69" dataDxfId="68" headerRowCellStyle="Normal" dataCellStyle="Normal">
  <autoFilter ref="A3:AT34" xr:uid="{00000000-000C-0000-FFFF-FFFF00000000}"/>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calculatedColumnFormula>Table1[[#This Row],[CEDS Element Name]]</calculatedColumnFormula>
    </tableColumn>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49" xr3:uid="{C5E4B568-12EA-4E3A-8CE0-E5AB5F4063AD}" name="Curated Zone Dimension Table Name" dataDxfId="55"/>
    <tableColumn id="50" xr3:uid="{76686397-6F0B-4B35-98F8-94CE63C175FA}" name="Curated Zone Dimension Column Name" dataDxfId="54"/>
    <tableColumn id="51" xr3:uid="{636BF4D4-6757-4730-8DD9-270DE68E0F77}" name="Curated Zone Fact Table Name" dataDxfId="53"/>
    <tableColumn id="52" xr3:uid="{18D054F3-7953-4327-969A-55EEFD165A7A}"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D3"/>
  <sheetViews>
    <sheetView workbookViewId="0"/>
  </sheetViews>
  <sheetFormatPr defaultColWidth="38.33203125" defaultRowHeight="14.4" x14ac:dyDescent="0.3"/>
  <sheetData>
    <row r="1" spans="1:4" ht="21" x14ac:dyDescent="0.4">
      <c r="A1" s="64" t="s">
        <v>0</v>
      </c>
      <c r="B1" s="64" t="s">
        <v>1</v>
      </c>
      <c r="C1" s="64" t="s">
        <v>378</v>
      </c>
      <c r="D1" s="64" t="s">
        <v>2</v>
      </c>
    </row>
    <row r="2" spans="1:4" x14ac:dyDescent="0.3">
      <c r="D2" s="110"/>
    </row>
    <row r="3" spans="1:4" x14ac:dyDescent="0.3">
      <c r="D3" s="1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sqref="A1:XFD1"/>
    </sheetView>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c r="B1" s="3"/>
    </row>
    <row r="2" spans="1:9" ht="33.9" customHeight="1" x14ac:dyDescent="0.3">
      <c r="A2" s="13"/>
      <c r="B2" s="26" t="s">
        <v>3</v>
      </c>
      <c r="C2" s="24"/>
    </row>
    <row r="3" spans="1:9" s="4" customFormat="1" ht="23.4" x14ac:dyDescent="0.3">
      <c r="A3" s="8"/>
      <c r="B3" s="23" t="s">
        <v>4</v>
      </c>
      <c r="C3" s="15"/>
    </row>
    <row r="4" spans="1:9" s="4" customFormat="1" ht="23.4" x14ac:dyDescent="0.3">
      <c r="A4" s="8"/>
      <c r="B4" s="23"/>
      <c r="C4" s="15"/>
    </row>
    <row r="5" spans="1:9" s="5" customFormat="1" ht="21" x14ac:dyDescent="0.3">
      <c r="B5" s="20" t="s">
        <v>5</v>
      </c>
      <c r="C5" s="17"/>
      <c r="D5" s="7"/>
      <c r="I5" s="12"/>
    </row>
    <row r="6" spans="1:9" s="6" customFormat="1" ht="42" x14ac:dyDescent="0.3">
      <c r="B6" s="29" t="s">
        <v>6</v>
      </c>
      <c r="C6" s="18" t="s">
        <v>7</v>
      </c>
    </row>
    <row r="7" spans="1:9" s="5" customFormat="1" ht="21" x14ac:dyDescent="0.3">
      <c r="B7" s="27"/>
      <c r="C7" s="18"/>
    </row>
    <row r="8" spans="1:9" s="11" customFormat="1" ht="21" x14ac:dyDescent="0.3">
      <c r="B8" s="21" t="s">
        <v>8</v>
      </c>
      <c r="C8" s="19"/>
    </row>
    <row r="9" spans="1:9" s="6" customFormat="1" ht="24.9" customHeight="1" x14ac:dyDescent="0.3">
      <c r="B9" s="29" t="s">
        <v>6</v>
      </c>
      <c r="C9" s="22" t="s">
        <v>9</v>
      </c>
      <c r="I9" s="25"/>
    </row>
    <row r="10" spans="1:9" s="6" customFormat="1" ht="24.9" customHeight="1" x14ac:dyDescent="0.3">
      <c r="B10" s="29" t="s">
        <v>6</v>
      </c>
      <c r="C10" s="22" t="s">
        <v>10</v>
      </c>
      <c r="I10" s="25"/>
    </row>
    <row r="11" spans="1:9" s="6" customFormat="1" ht="24.9" customHeight="1" x14ac:dyDescent="0.3">
      <c r="B11" s="29" t="s">
        <v>6</v>
      </c>
      <c r="C11" s="22" t="s">
        <v>11</v>
      </c>
    </row>
    <row r="12" spans="1:9" s="6" customFormat="1" ht="24.9" customHeight="1" x14ac:dyDescent="0.3">
      <c r="B12" s="29" t="s">
        <v>6</v>
      </c>
      <c r="C12" s="18" t="s">
        <v>12</v>
      </c>
    </row>
    <row r="13" spans="1:9" s="6" customFormat="1" ht="24.9" customHeight="1" x14ac:dyDescent="0.3">
      <c r="B13" s="29" t="s">
        <v>6</v>
      </c>
      <c r="C13" s="18" t="s">
        <v>13</v>
      </c>
    </row>
    <row r="14" spans="1:9" s="5" customFormat="1" ht="21" x14ac:dyDescent="0.3">
      <c r="B14" s="27"/>
      <c r="C14" s="18"/>
    </row>
    <row r="15" spans="1:9" s="11" customFormat="1" ht="21" x14ac:dyDescent="0.3">
      <c r="B15" s="21" t="s">
        <v>14</v>
      </c>
      <c r="C15" s="19"/>
    </row>
    <row r="16" spans="1:9" s="6" customFormat="1" ht="47.4" customHeight="1" x14ac:dyDescent="0.3">
      <c r="B16" s="29" t="s">
        <v>6</v>
      </c>
      <c r="C16" s="18" t="s">
        <v>15</v>
      </c>
    </row>
    <row r="17" spans="2:3" s="6" customFormat="1" ht="63" customHeight="1" x14ac:dyDescent="0.3">
      <c r="B17" s="29" t="s">
        <v>6</v>
      </c>
      <c r="C17" s="22" t="s">
        <v>16</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3" sqref="E3"/>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11"/>
      <c r="C1" s="111"/>
      <c r="D1" s="111"/>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46"/>
  <sheetViews>
    <sheetView showGridLines="0" tabSelected="1" zoomScale="55" zoomScaleNormal="55" zoomScaleSheetLayoutView="100" workbookViewId="0">
      <pane ySplit="3" topLeftCell="A4" activePane="bottomLeft" state="frozen"/>
      <selection pane="bottomLeft"/>
    </sheetView>
  </sheetViews>
  <sheetFormatPr defaultColWidth="9.109375" defaultRowHeight="14.4" x14ac:dyDescent="0.3"/>
  <cols>
    <col min="1" max="1" width="28.88671875" bestFit="1" customWidth="1"/>
    <col min="2" max="2" width="29.109375" bestFit="1" customWidth="1"/>
    <col min="3" max="3" width="27.44140625" bestFit="1" customWidth="1"/>
    <col min="4" max="4" width="36.88671875" bestFit="1" customWidth="1"/>
    <col min="5" max="5" width="47.5546875" bestFit="1" customWidth="1"/>
    <col min="6" max="6" width="35.44140625" bestFit="1" customWidth="1"/>
    <col min="7" max="7" width="115.88671875" customWidth="1"/>
    <col min="8" max="8" width="24" customWidth="1"/>
    <col min="9" max="9" width="25.88671875" customWidth="1"/>
    <col min="10" max="10" width="35.44140625" customWidth="1"/>
    <col min="11" max="11" width="36" customWidth="1"/>
    <col min="12" max="12" width="27.33203125" customWidth="1"/>
    <col min="13" max="13" width="42.33203125" customWidth="1"/>
    <col min="14" max="14" width="44.44140625" customWidth="1"/>
    <col min="15" max="15" width="36.109375" customWidth="1"/>
    <col min="16" max="16" width="38.109375" customWidth="1"/>
    <col min="17" max="17" width="23.109375" style="65" customWidth="1"/>
    <col min="18" max="18" width="27.6640625" style="65" customWidth="1"/>
    <col min="19" max="19" width="99.44140625" style="65" customWidth="1"/>
    <col min="20" max="20" width="33.88671875" style="65" customWidth="1"/>
    <col min="21" max="21" width="45.33203125" style="65" customWidth="1"/>
    <col min="22" max="22" width="54.33203125" style="65" customWidth="1"/>
    <col min="23" max="23" width="153.5546875" style="65" customWidth="1"/>
    <col min="24" max="24" width="22.33203125" style="65" customWidth="1"/>
    <col min="25" max="25" width="24.109375" style="65" customWidth="1"/>
    <col min="26" max="26" width="28.109375" style="65" bestFit="1" customWidth="1"/>
    <col min="27" max="27" width="34" style="65" bestFit="1" customWidth="1"/>
    <col min="28" max="28" width="29.44140625" style="66" bestFit="1" customWidth="1"/>
    <col min="29" max="29" width="34.5546875" style="66" bestFit="1" customWidth="1"/>
    <col min="30" max="30" width="37.109375" style="65" customWidth="1"/>
    <col min="31" max="31" width="29.88671875" style="65" customWidth="1"/>
    <col min="32" max="32" width="33.33203125" style="65" customWidth="1"/>
    <col min="33" max="33" width="33.5546875" style="65" customWidth="1"/>
    <col min="34" max="34" width="33.88671875" style="65" customWidth="1"/>
    <col min="35" max="35" width="45.109375" style="65" customWidth="1"/>
    <col min="36" max="36" width="34.44140625" style="65" customWidth="1"/>
    <col min="37" max="37" width="44.88671875" style="65" bestFit="1" customWidth="1"/>
    <col min="38" max="38" width="47" style="65" bestFit="1" customWidth="1"/>
    <col min="39" max="39" width="38.5546875" style="65" bestFit="1" customWidth="1"/>
    <col min="40" max="40" width="54.6640625" style="65" customWidth="1"/>
    <col min="41" max="41" width="56.77734375" style="65" customWidth="1"/>
    <col min="42" max="42" width="43.5546875" style="65" bestFit="1" customWidth="1"/>
    <col min="43" max="43" width="31.6640625" style="65" bestFit="1" customWidth="1"/>
    <col min="44" max="44" width="24.88671875" style="65" bestFit="1" customWidth="1"/>
    <col min="45" max="45" width="24.5546875" style="65" bestFit="1" customWidth="1"/>
    <col min="46" max="46" width="26.109375" style="65" bestFit="1" customWidth="1"/>
    <col min="47" max="16384" width="9.109375" style="65"/>
  </cols>
  <sheetData>
    <row r="1" spans="1:46" ht="29.4" thickBot="1" x14ac:dyDescent="0.6">
      <c r="A1" s="105" t="s">
        <v>377</v>
      </c>
      <c r="B1" s="105"/>
      <c r="C1" s="105"/>
      <c r="Q1"/>
      <c r="R1"/>
      <c r="AB1" s="65"/>
      <c r="AC1" s="65"/>
      <c r="AD1" s="66"/>
      <c r="AE1" s="66"/>
    </row>
    <row r="2" spans="1:46" ht="19.2" thickTop="1" thickBot="1" x14ac:dyDescent="0.4">
      <c r="A2" s="115" t="s">
        <v>151</v>
      </c>
      <c r="B2" s="116"/>
      <c r="C2" s="116"/>
      <c r="D2" s="116"/>
      <c r="E2" s="116"/>
      <c r="F2" s="116"/>
      <c r="G2" s="116"/>
      <c r="H2" s="116"/>
      <c r="I2" s="116"/>
      <c r="J2" s="116"/>
      <c r="K2" s="116"/>
      <c r="L2" s="117"/>
      <c r="M2" s="115" t="s">
        <v>152</v>
      </c>
      <c r="N2" s="116"/>
      <c r="O2" s="116"/>
      <c r="P2" s="117"/>
      <c r="Q2" s="115" t="s">
        <v>153</v>
      </c>
      <c r="R2" s="116"/>
      <c r="S2" s="117"/>
      <c r="T2" s="67" t="s">
        <v>154</v>
      </c>
      <c r="U2" s="115" t="s">
        <v>155</v>
      </c>
      <c r="V2" s="116"/>
      <c r="W2" s="116"/>
      <c r="X2" s="116"/>
      <c r="Y2" s="116"/>
      <c r="Z2" s="116"/>
      <c r="AA2" s="116"/>
      <c r="AB2" s="116" t="s">
        <v>156</v>
      </c>
      <c r="AC2" s="116"/>
      <c r="AD2" s="116"/>
      <c r="AE2" s="117"/>
      <c r="AF2" s="115" t="s">
        <v>157</v>
      </c>
      <c r="AG2" s="116"/>
      <c r="AH2" s="117"/>
      <c r="AI2" s="115" t="s">
        <v>158</v>
      </c>
      <c r="AJ2" s="116"/>
      <c r="AK2" s="112" t="s">
        <v>159</v>
      </c>
      <c r="AL2" s="113"/>
      <c r="AM2" s="113"/>
      <c r="AN2" s="114"/>
      <c r="AO2" s="112" t="s">
        <v>160</v>
      </c>
      <c r="AP2" s="114"/>
      <c r="AQ2" s="112" t="s">
        <v>161</v>
      </c>
      <c r="AR2" s="113"/>
      <c r="AS2" s="113"/>
      <c r="AT2" s="114"/>
    </row>
    <row r="3" spans="1:46" s="68" customFormat="1" ht="16.2" thickTop="1" x14ac:dyDescent="0.3">
      <c r="A3" s="70" t="s">
        <v>162</v>
      </c>
      <c r="B3" s="68" t="s">
        <v>49</v>
      </c>
      <c r="C3" s="70" t="s">
        <v>163</v>
      </c>
      <c r="D3" s="70" t="s">
        <v>55</v>
      </c>
      <c r="E3" s="70" t="s">
        <v>58</v>
      </c>
      <c r="F3" s="70" t="s">
        <v>60</v>
      </c>
      <c r="G3" s="70" t="s">
        <v>63</v>
      </c>
      <c r="H3" s="70" t="s">
        <v>66</v>
      </c>
      <c r="I3" s="70" t="s">
        <v>69</v>
      </c>
      <c r="J3" s="70" t="s">
        <v>72</v>
      </c>
      <c r="K3" s="70" t="s">
        <v>75</v>
      </c>
      <c r="L3" s="71" t="s">
        <v>78</v>
      </c>
      <c r="M3" s="68" t="s">
        <v>164</v>
      </c>
      <c r="N3" s="68" t="s">
        <v>165</v>
      </c>
      <c r="O3" s="68" t="s">
        <v>166</v>
      </c>
      <c r="P3" s="68" t="s">
        <v>167</v>
      </c>
      <c r="Q3" s="68" t="s">
        <v>82</v>
      </c>
      <c r="R3" s="68" t="s">
        <v>84</v>
      </c>
      <c r="S3" s="72" t="s">
        <v>86</v>
      </c>
      <c r="T3" s="73" t="s">
        <v>168</v>
      </c>
      <c r="U3" s="68" t="s">
        <v>94</v>
      </c>
      <c r="V3" s="68" t="s">
        <v>96</v>
      </c>
      <c r="W3" s="68" t="s">
        <v>98</v>
      </c>
      <c r="X3" s="68" t="s">
        <v>100</v>
      </c>
      <c r="Y3" s="68" t="s">
        <v>102</v>
      </c>
      <c r="Z3" s="68" t="s">
        <v>104</v>
      </c>
      <c r="AA3" s="68" t="s">
        <v>106</v>
      </c>
      <c r="AB3" s="69" t="s">
        <v>108</v>
      </c>
      <c r="AC3" s="68" t="s">
        <v>111</v>
      </c>
      <c r="AD3" s="68" t="s">
        <v>113</v>
      </c>
      <c r="AE3" s="69" t="s">
        <v>116</v>
      </c>
      <c r="AF3" s="68" t="s">
        <v>119</v>
      </c>
      <c r="AG3" s="68" t="s">
        <v>121</v>
      </c>
      <c r="AH3" s="74" t="s">
        <v>122</v>
      </c>
      <c r="AI3" s="68" t="s">
        <v>125</v>
      </c>
      <c r="AJ3" s="74" t="s">
        <v>127</v>
      </c>
      <c r="AK3" s="68" t="s">
        <v>130</v>
      </c>
      <c r="AL3" s="68" t="s">
        <v>132</v>
      </c>
      <c r="AM3" s="68" t="s">
        <v>134</v>
      </c>
      <c r="AN3" s="68" t="s">
        <v>136</v>
      </c>
      <c r="AO3" s="68" t="s">
        <v>138</v>
      </c>
      <c r="AP3" s="69" t="s">
        <v>140</v>
      </c>
      <c r="AQ3" s="68" t="s">
        <v>143</v>
      </c>
      <c r="AR3" s="68" t="s">
        <v>145</v>
      </c>
      <c r="AS3" s="68" t="s">
        <v>147</v>
      </c>
      <c r="AT3" s="68" t="s">
        <v>149</v>
      </c>
    </row>
    <row r="4" spans="1:46" s="68" customFormat="1" ht="15.6" customHeight="1" x14ac:dyDescent="0.3">
      <c r="A4" s="81"/>
      <c r="B4" s="81" t="s">
        <v>360</v>
      </c>
      <c r="C4" s="75" t="s">
        <v>308</v>
      </c>
      <c r="D4" s="75" t="s">
        <v>307</v>
      </c>
      <c r="E4" s="81" t="s">
        <v>310</v>
      </c>
      <c r="F4" s="81" t="str">
        <f>Table1[[#This Row],[CEDS Element Name]]</f>
        <v>Local Education Agency Identifier</v>
      </c>
      <c r="G4" s="81" t="s">
        <v>169</v>
      </c>
      <c r="H4" s="81"/>
      <c r="I4" s="81"/>
      <c r="J4" s="100"/>
      <c r="K4" s="100"/>
      <c r="L4" s="81" t="s">
        <v>170</v>
      </c>
      <c r="M4" s="104" t="s">
        <v>171</v>
      </c>
      <c r="N4" s="104" t="s">
        <v>172</v>
      </c>
      <c r="O4" s="104" t="s">
        <v>173</v>
      </c>
      <c r="P4" s="104" t="s">
        <v>174</v>
      </c>
      <c r="Q4" s="81"/>
      <c r="R4" s="81"/>
      <c r="S4" s="81" t="s">
        <v>175</v>
      </c>
      <c r="T4" s="96" t="s">
        <v>176</v>
      </c>
      <c r="U4" s="82" t="s">
        <v>177</v>
      </c>
      <c r="V4" s="82" t="s">
        <v>178</v>
      </c>
      <c r="W4" s="81" t="s">
        <v>169</v>
      </c>
      <c r="X4" s="81" t="s">
        <v>179</v>
      </c>
      <c r="Y4" s="81" t="s">
        <v>180</v>
      </c>
      <c r="Z4" s="81"/>
      <c r="AA4" s="81"/>
      <c r="AB4" s="91">
        <v>1068</v>
      </c>
      <c r="AC4" s="84">
        <v>65594</v>
      </c>
      <c r="AD4" s="81"/>
      <c r="AE4" s="81"/>
      <c r="AF4" s="81" t="s">
        <v>181</v>
      </c>
      <c r="AG4" s="81" t="s">
        <v>181</v>
      </c>
      <c r="AH4" s="81" t="s">
        <v>181</v>
      </c>
      <c r="AI4" s="75" t="s">
        <v>182</v>
      </c>
      <c r="AJ4" s="81" t="s">
        <v>172</v>
      </c>
      <c r="AK4" s="83" t="s">
        <v>171</v>
      </c>
      <c r="AL4" s="83" t="s">
        <v>172</v>
      </c>
      <c r="AM4" s="83" t="s">
        <v>173</v>
      </c>
      <c r="AN4" s="88" t="s">
        <v>174</v>
      </c>
      <c r="AO4" s="81" t="s">
        <v>183</v>
      </c>
      <c r="AP4" s="81" t="s">
        <v>184</v>
      </c>
      <c r="AQ4" s="75"/>
      <c r="AR4" s="75"/>
      <c r="AS4" s="75"/>
      <c r="AT4" s="75"/>
    </row>
    <row r="5" spans="1:46" s="75" customFormat="1" ht="28.8" x14ac:dyDescent="0.3">
      <c r="B5" s="75" t="s">
        <v>360</v>
      </c>
      <c r="C5" s="75" t="s">
        <v>308</v>
      </c>
      <c r="D5" s="75" t="s">
        <v>307</v>
      </c>
      <c r="E5" s="75" t="s">
        <v>311</v>
      </c>
      <c r="F5" s="75" t="str">
        <f>Table1[[#This Row],[CEDS Element Name]]</f>
        <v>School Identifier</v>
      </c>
      <c r="G5" s="75" t="s">
        <v>185</v>
      </c>
      <c r="J5" s="98"/>
      <c r="K5" s="98"/>
      <c r="L5" s="75" t="s">
        <v>170</v>
      </c>
      <c r="M5" s="104" t="s">
        <v>186</v>
      </c>
      <c r="N5" s="104" t="s">
        <v>187</v>
      </c>
      <c r="O5" s="104" t="s">
        <v>173</v>
      </c>
      <c r="P5" s="104" t="s">
        <v>188</v>
      </c>
      <c r="S5" s="75" t="s">
        <v>189</v>
      </c>
      <c r="T5" s="96" t="s">
        <v>176</v>
      </c>
      <c r="U5" s="92" t="s">
        <v>190</v>
      </c>
      <c r="V5" s="92" t="s">
        <v>191</v>
      </c>
      <c r="W5" s="75" t="s">
        <v>185</v>
      </c>
      <c r="X5" s="75" t="s">
        <v>179</v>
      </c>
      <c r="Y5" s="75" t="s">
        <v>180</v>
      </c>
      <c r="AB5" s="91">
        <v>1069</v>
      </c>
      <c r="AC5" s="80" t="s">
        <v>192</v>
      </c>
      <c r="AF5" s="75" t="s">
        <v>181</v>
      </c>
      <c r="AG5" s="75" t="s">
        <v>181</v>
      </c>
      <c r="AH5" s="75" t="s">
        <v>181</v>
      </c>
      <c r="AI5" s="75" t="s">
        <v>182</v>
      </c>
      <c r="AJ5" s="75" t="s">
        <v>187</v>
      </c>
      <c r="AK5" s="79" t="s">
        <v>186</v>
      </c>
      <c r="AL5" s="79" t="s">
        <v>187</v>
      </c>
      <c r="AM5" s="79" t="s">
        <v>173</v>
      </c>
      <c r="AN5" s="79" t="s">
        <v>188</v>
      </c>
      <c r="AO5" s="75" t="s">
        <v>183</v>
      </c>
      <c r="AP5" s="77" t="s">
        <v>193</v>
      </c>
    </row>
    <row r="6" spans="1:46" s="75" customFormat="1" x14ac:dyDescent="0.3">
      <c r="B6" s="75" t="s">
        <v>360</v>
      </c>
      <c r="C6" s="75" t="s">
        <v>308</v>
      </c>
      <c r="D6" s="75" t="s">
        <v>307</v>
      </c>
      <c r="E6" s="78" t="s">
        <v>344</v>
      </c>
      <c r="F6" s="75" t="str">
        <f>Table1[[#This Row],[CEDS Element Name]]</f>
        <v>School Year</v>
      </c>
      <c r="G6" s="75" t="s">
        <v>195</v>
      </c>
      <c r="J6" s="98"/>
      <c r="K6" s="98"/>
      <c r="L6" s="75" t="s">
        <v>170</v>
      </c>
      <c r="M6" s="104" t="s">
        <v>196</v>
      </c>
      <c r="N6" s="104" t="s">
        <v>196</v>
      </c>
      <c r="O6" s="104" t="s">
        <v>196</v>
      </c>
      <c r="P6" s="104" t="s">
        <v>196</v>
      </c>
      <c r="T6" s="96" t="s">
        <v>176</v>
      </c>
      <c r="U6" s="92" t="s">
        <v>197</v>
      </c>
      <c r="V6" s="92" t="s">
        <v>198</v>
      </c>
      <c r="W6" s="75" t="s">
        <v>195</v>
      </c>
      <c r="AA6" s="92"/>
      <c r="AB6" s="91">
        <v>243</v>
      </c>
      <c r="AC6" s="80" t="s">
        <v>199</v>
      </c>
      <c r="AF6" s="75" t="s">
        <v>181</v>
      </c>
      <c r="AG6" s="75" t="s">
        <v>181</v>
      </c>
      <c r="AH6" s="75" t="s">
        <v>181</v>
      </c>
      <c r="AI6" s="75" t="s">
        <v>182</v>
      </c>
      <c r="AJ6" s="76" t="s">
        <v>194</v>
      </c>
      <c r="AK6" s="79" t="s">
        <v>367</v>
      </c>
      <c r="AL6" s="79" t="s">
        <v>369</v>
      </c>
      <c r="AM6" s="79" t="s">
        <v>173</v>
      </c>
      <c r="AN6" s="79" t="s">
        <v>368</v>
      </c>
      <c r="AO6" s="75" t="s">
        <v>183</v>
      </c>
      <c r="AP6" s="79" t="s">
        <v>200</v>
      </c>
    </row>
    <row r="7" spans="1:46" s="75" customFormat="1" ht="28.8" x14ac:dyDescent="0.3">
      <c r="B7" s="75" t="s">
        <v>360</v>
      </c>
      <c r="C7" s="75" t="s">
        <v>308</v>
      </c>
      <c r="D7" s="75" t="s">
        <v>307</v>
      </c>
      <c r="E7" s="75" t="s">
        <v>306</v>
      </c>
      <c r="F7" s="75" t="str">
        <f>Table1[[#This Row],[CEDS Element Name]]</f>
        <v>Race</v>
      </c>
      <c r="G7" s="75" t="s">
        <v>201</v>
      </c>
      <c r="J7" s="98" t="s">
        <v>298</v>
      </c>
      <c r="K7" s="98" t="s">
        <v>312</v>
      </c>
      <c r="L7" s="75" t="s">
        <v>170</v>
      </c>
      <c r="M7" s="104" t="s">
        <v>203</v>
      </c>
      <c r="N7" s="104" t="s">
        <v>204</v>
      </c>
      <c r="O7" s="104" t="s">
        <v>173</v>
      </c>
      <c r="P7" s="104" t="s">
        <v>205</v>
      </c>
      <c r="Q7" s="75" t="s">
        <v>337</v>
      </c>
      <c r="T7" s="96" t="s">
        <v>176</v>
      </c>
      <c r="U7" s="92" t="s">
        <v>207</v>
      </c>
      <c r="V7" s="92" t="s">
        <v>208</v>
      </c>
      <c r="W7" s="75" t="s">
        <v>201</v>
      </c>
      <c r="Z7" s="75" t="s">
        <v>202</v>
      </c>
      <c r="AA7" s="92"/>
      <c r="AB7" s="91">
        <v>1943</v>
      </c>
      <c r="AC7" s="80" t="s">
        <v>209</v>
      </c>
      <c r="AF7" s="75" t="s">
        <v>181</v>
      </c>
      <c r="AG7" s="75" t="s">
        <v>181</v>
      </c>
      <c r="AH7" s="75" t="s">
        <v>181</v>
      </c>
      <c r="AI7" s="75" t="s">
        <v>182</v>
      </c>
      <c r="AJ7" s="92" t="s">
        <v>208</v>
      </c>
      <c r="AK7" s="92" t="s">
        <v>203</v>
      </c>
      <c r="AL7" s="92" t="s">
        <v>204</v>
      </c>
      <c r="AM7" s="92" t="s">
        <v>173</v>
      </c>
      <c r="AN7" s="92" t="s">
        <v>205</v>
      </c>
      <c r="AO7" s="92" t="s">
        <v>210</v>
      </c>
      <c r="AP7" s="92" t="s">
        <v>211</v>
      </c>
    </row>
    <row r="8" spans="1:46" s="75" customFormat="1" x14ac:dyDescent="0.3">
      <c r="B8" s="75" t="s">
        <v>360</v>
      </c>
      <c r="C8" s="75" t="s">
        <v>308</v>
      </c>
      <c r="D8" s="75" t="s">
        <v>307</v>
      </c>
      <c r="E8" s="75" t="s">
        <v>306</v>
      </c>
      <c r="F8" s="75" t="str">
        <f>Table1[[#This Row],[CEDS Element Name]]</f>
        <v>Race</v>
      </c>
      <c r="G8" s="75" t="s">
        <v>201</v>
      </c>
      <c r="J8" s="98" t="s">
        <v>299</v>
      </c>
      <c r="K8" s="98" t="s">
        <v>313</v>
      </c>
      <c r="L8" s="75" t="s">
        <v>170</v>
      </c>
      <c r="M8" s="104" t="s">
        <v>203</v>
      </c>
      <c r="N8" s="104" t="s">
        <v>204</v>
      </c>
      <c r="O8" s="104" t="s">
        <v>173</v>
      </c>
      <c r="P8" s="104" t="s">
        <v>205</v>
      </c>
      <c r="Q8" s="75" t="s">
        <v>338</v>
      </c>
      <c r="T8" s="96" t="s">
        <v>206</v>
      </c>
      <c r="U8" s="92" t="s">
        <v>207</v>
      </c>
      <c r="V8" s="92" t="s">
        <v>208</v>
      </c>
      <c r="W8" s="75" t="s">
        <v>201</v>
      </c>
      <c r="Z8" s="75" t="s">
        <v>212</v>
      </c>
      <c r="AA8" s="92"/>
      <c r="AB8" s="91">
        <v>1943</v>
      </c>
      <c r="AC8" s="80" t="s">
        <v>209</v>
      </c>
      <c r="AF8" s="75" t="s">
        <v>181</v>
      </c>
      <c r="AG8" s="75" t="s">
        <v>181</v>
      </c>
      <c r="AH8" s="75" t="s">
        <v>181</v>
      </c>
      <c r="AI8" s="75" t="s">
        <v>182</v>
      </c>
      <c r="AJ8" s="92" t="s">
        <v>208</v>
      </c>
      <c r="AK8" s="92" t="s">
        <v>203</v>
      </c>
      <c r="AL8" s="92" t="s">
        <v>204</v>
      </c>
      <c r="AM8" s="92" t="s">
        <v>173</v>
      </c>
      <c r="AN8" s="92" t="s">
        <v>205</v>
      </c>
      <c r="AO8" s="92" t="s">
        <v>210</v>
      </c>
      <c r="AP8" s="92" t="s">
        <v>211</v>
      </c>
    </row>
    <row r="9" spans="1:46" s="75" customFormat="1" x14ac:dyDescent="0.3">
      <c r="B9" s="75" t="s">
        <v>360</v>
      </c>
      <c r="C9" s="75" t="s">
        <v>308</v>
      </c>
      <c r="D9" s="75" t="s">
        <v>307</v>
      </c>
      <c r="E9" s="75" t="s">
        <v>306</v>
      </c>
      <c r="F9" s="75" t="str">
        <f>Table1[[#This Row],[CEDS Element Name]]</f>
        <v>Race</v>
      </c>
      <c r="G9" s="75" t="s">
        <v>201</v>
      </c>
      <c r="J9" s="98" t="s">
        <v>300</v>
      </c>
      <c r="K9" s="98" t="s">
        <v>314</v>
      </c>
      <c r="L9" s="75" t="s">
        <v>170</v>
      </c>
      <c r="M9" s="104" t="s">
        <v>203</v>
      </c>
      <c r="N9" s="104" t="s">
        <v>204</v>
      </c>
      <c r="O9" s="104" t="s">
        <v>173</v>
      </c>
      <c r="P9" s="104" t="s">
        <v>205</v>
      </c>
      <c r="Q9" s="75" t="s">
        <v>339</v>
      </c>
      <c r="T9" s="96" t="s">
        <v>206</v>
      </c>
      <c r="U9" s="92" t="s">
        <v>207</v>
      </c>
      <c r="V9" s="92" t="s">
        <v>208</v>
      </c>
      <c r="W9" s="75" t="s">
        <v>201</v>
      </c>
      <c r="Z9" s="75" t="s">
        <v>213</v>
      </c>
      <c r="AA9" s="92"/>
      <c r="AB9" s="91">
        <v>1943</v>
      </c>
      <c r="AC9" s="80" t="s">
        <v>209</v>
      </c>
      <c r="AF9" s="75" t="s">
        <v>181</v>
      </c>
      <c r="AG9" s="75" t="s">
        <v>181</v>
      </c>
      <c r="AH9" s="75" t="s">
        <v>181</v>
      </c>
      <c r="AI9" s="75" t="s">
        <v>182</v>
      </c>
      <c r="AJ9" s="92" t="s">
        <v>208</v>
      </c>
      <c r="AK9" s="92" t="s">
        <v>203</v>
      </c>
      <c r="AL9" s="92" t="s">
        <v>204</v>
      </c>
      <c r="AM9" s="92" t="s">
        <v>173</v>
      </c>
      <c r="AN9" s="92" t="s">
        <v>205</v>
      </c>
      <c r="AO9" s="92" t="s">
        <v>210</v>
      </c>
      <c r="AP9" s="92" t="s">
        <v>211</v>
      </c>
    </row>
    <row r="10" spans="1:46" s="75" customFormat="1" x14ac:dyDescent="0.3">
      <c r="B10" s="75" t="s">
        <v>360</v>
      </c>
      <c r="C10" s="75" t="s">
        <v>308</v>
      </c>
      <c r="D10" s="75" t="s">
        <v>307</v>
      </c>
      <c r="E10" s="75" t="s">
        <v>306</v>
      </c>
      <c r="F10" s="75" t="str">
        <f>Table1[[#This Row],[CEDS Element Name]]</f>
        <v>Race</v>
      </c>
      <c r="G10" s="75" t="s">
        <v>201</v>
      </c>
      <c r="J10" s="98" t="s">
        <v>305</v>
      </c>
      <c r="K10" s="98" t="s">
        <v>315</v>
      </c>
      <c r="L10" s="75" t="s">
        <v>170</v>
      </c>
      <c r="M10" s="104" t="s">
        <v>203</v>
      </c>
      <c r="N10" s="104" t="s">
        <v>204</v>
      </c>
      <c r="O10" s="104" t="s">
        <v>173</v>
      </c>
      <c r="P10" s="104" t="s">
        <v>205</v>
      </c>
      <c r="Q10" s="75" t="s">
        <v>340</v>
      </c>
      <c r="T10" s="96" t="s">
        <v>206</v>
      </c>
      <c r="U10" s="92" t="s">
        <v>207</v>
      </c>
      <c r="V10" s="92" t="s">
        <v>208</v>
      </c>
      <c r="W10" s="75" t="s">
        <v>201</v>
      </c>
      <c r="Z10" s="75" t="s">
        <v>304</v>
      </c>
      <c r="AA10" s="92"/>
      <c r="AB10" s="91">
        <v>1943</v>
      </c>
      <c r="AC10" s="80" t="s">
        <v>209</v>
      </c>
      <c r="AF10" s="75" t="s">
        <v>181</v>
      </c>
      <c r="AG10" s="75" t="s">
        <v>181</v>
      </c>
      <c r="AH10" s="75" t="s">
        <v>181</v>
      </c>
      <c r="AI10" s="75" t="s">
        <v>182</v>
      </c>
      <c r="AJ10" s="92" t="s">
        <v>208</v>
      </c>
      <c r="AK10" s="92" t="s">
        <v>203</v>
      </c>
      <c r="AL10" s="92" t="s">
        <v>204</v>
      </c>
      <c r="AM10" s="92" t="s">
        <v>173</v>
      </c>
      <c r="AN10" s="92" t="s">
        <v>205</v>
      </c>
      <c r="AO10" s="92" t="s">
        <v>210</v>
      </c>
      <c r="AP10" s="92" t="s">
        <v>211</v>
      </c>
    </row>
    <row r="11" spans="1:46" s="75" customFormat="1" ht="28.8" x14ac:dyDescent="0.3">
      <c r="B11" s="75" t="s">
        <v>360</v>
      </c>
      <c r="C11" s="75" t="s">
        <v>308</v>
      </c>
      <c r="D11" s="75" t="s">
        <v>307</v>
      </c>
      <c r="E11" s="75" t="s">
        <v>306</v>
      </c>
      <c r="F11" s="75" t="str">
        <f>Table1[[#This Row],[CEDS Element Name]]</f>
        <v>Race</v>
      </c>
      <c r="G11" s="75" t="s">
        <v>201</v>
      </c>
      <c r="J11" s="98" t="s">
        <v>301</v>
      </c>
      <c r="K11" s="98" t="s">
        <v>317</v>
      </c>
      <c r="L11" s="75" t="s">
        <v>170</v>
      </c>
      <c r="M11" s="104" t="s">
        <v>203</v>
      </c>
      <c r="N11" s="104" t="s">
        <v>204</v>
      </c>
      <c r="O11" s="104" t="s">
        <v>173</v>
      </c>
      <c r="P11" s="104" t="s">
        <v>205</v>
      </c>
      <c r="Q11" s="75" t="s">
        <v>342</v>
      </c>
      <c r="T11" s="96" t="s">
        <v>206</v>
      </c>
      <c r="U11" s="92" t="s">
        <v>207</v>
      </c>
      <c r="V11" s="92" t="s">
        <v>208</v>
      </c>
      <c r="W11" s="75" t="s">
        <v>201</v>
      </c>
      <c r="Z11" s="75" t="s">
        <v>215</v>
      </c>
      <c r="AA11" s="92"/>
      <c r="AB11" s="91">
        <v>1943</v>
      </c>
      <c r="AC11" s="80" t="s">
        <v>209</v>
      </c>
      <c r="AF11" s="75" t="s">
        <v>181</v>
      </c>
      <c r="AG11" s="75" t="s">
        <v>181</v>
      </c>
      <c r="AH11" s="75" t="s">
        <v>181</v>
      </c>
      <c r="AI11" s="75" t="s">
        <v>182</v>
      </c>
      <c r="AJ11" s="92" t="s">
        <v>208</v>
      </c>
      <c r="AK11" s="92" t="s">
        <v>203</v>
      </c>
      <c r="AL11" s="92" t="s">
        <v>204</v>
      </c>
      <c r="AM11" s="92" t="s">
        <v>173</v>
      </c>
      <c r="AN11" s="92" t="s">
        <v>205</v>
      </c>
      <c r="AO11" s="92" t="s">
        <v>210</v>
      </c>
      <c r="AP11" s="92" t="s">
        <v>211</v>
      </c>
    </row>
    <row r="12" spans="1:46" s="75" customFormat="1" ht="28.8" x14ac:dyDescent="0.3">
      <c r="B12" s="75" t="s">
        <v>360</v>
      </c>
      <c r="C12" s="75" t="s">
        <v>308</v>
      </c>
      <c r="D12" s="75" t="s">
        <v>307</v>
      </c>
      <c r="E12" s="75" t="s">
        <v>306</v>
      </c>
      <c r="F12" s="75" t="str">
        <f>Table1[[#This Row],[CEDS Element Name]]</f>
        <v>Race</v>
      </c>
      <c r="G12" s="75" t="s">
        <v>201</v>
      </c>
      <c r="J12" s="98" t="s">
        <v>303</v>
      </c>
      <c r="K12" s="98" t="s">
        <v>316</v>
      </c>
      <c r="L12" s="75" t="s">
        <v>170</v>
      </c>
      <c r="M12" s="104" t="s">
        <v>203</v>
      </c>
      <c r="N12" s="104" t="s">
        <v>204</v>
      </c>
      <c r="O12" s="104" t="s">
        <v>173</v>
      </c>
      <c r="P12" s="104" t="s">
        <v>205</v>
      </c>
      <c r="Q12" s="75" t="s">
        <v>341</v>
      </c>
      <c r="T12" s="96" t="s">
        <v>206</v>
      </c>
      <c r="U12" s="92" t="s">
        <v>207</v>
      </c>
      <c r="V12" s="92" t="s">
        <v>208</v>
      </c>
      <c r="W12" s="75" t="s">
        <v>201</v>
      </c>
      <c r="Z12" s="75" t="s">
        <v>214</v>
      </c>
      <c r="AA12" s="92"/>
      <c r="AB12" s="91">
        <v>1943</v>
      </c>
      <c r="AC12" s="80" t="s">
        <v>209</v>
      </c>
      <c r="AF12" s="75" t="s">
        <v>181</v>
      </c>
      <c r="AG12" s="75" t="s">
        <v>181</v>
      </c>
      <c r="AH12" s="75" t="s">
        <v>181</v>
      </c>
      <c r="AI12" s="75" t="s">
        <v>182</v>
      </c>
      <c r="AJ12" s="92" t="s">
        <v>208</v>
      </c>
      <c r="AK12" s="92" t="s">
        <v>203</v>
      </c>
      <c r="AL12" s="92" t="s">
        <v>204</v>
      </c>
      <c r="AM12" s="92" t="s">
        <v>173</v>
      </c>
      <c r="AN12" s="92" t="s">
        <v>205</v>
      </c>
      <c r="AO12" s="92" t="s">
        <v>210</v>
      </c>
      <c r="AP12" s="92" t="s">
        <v>211</v>
      </c>
    </row>
    <row r="13" spans="1:46" s="75" customFormat="1" x14ac:dyDescent="0.3">
      <c r="B13" s="75" t="s">
        <v>360</v>
      </c>
      <c r="C13" s="75" t="s">
        <v>308</v>
      </c>
      <c r="D13" s="75" t="s">
        <v>307</v>
      </c>
      <c r="E13" s="75" t="s">
        <v>306</v>
      </c>
      <c r="F13" s="75" t="str">
        <f>Table1[[#This Row],[CEDS Element Name]]</f>
        <v>Race</v>
      </c>
      <c r="G13" s="75" t="s">
        <v>201</v>
      </c>
      <c r="J13" s="98" t="s">
        <v>302</v>
      </c>
      <c r="K13" s="98" t="s">
        <v>318</v>
      </c>
      <c r="L13" s="75" t="s">
        <v>170</v>
      </c>
      <c r="M13" s="104" t="s">
        <v>203</v>
      </c>
      <c r="N13" s="104" t="s">
        <v>204</v>
      </c>
      <c r="O13" s="104" t="s">
        <v>173</v>
      </c>
      <c r="P13" s="104" t="s">
        <v>205</v>
      </c>
      <c r="Q13" s="75" t="s">
        <v>343</v>
      </c>
      <c r="T13" s="96" t="s">
        <v>206</v>
      </c>
      <c r="U13" s="92" t="s">
        <v>207</v>
      </c>
      <c r="V13" s="92" t="s">
        <v>208</v>
      </c>
      <c r="W13" s="75" t="s">
        <v>201</v>
      </c>
      <c r="Z13" s="75" t="s">
        <v>216</v>
      </c>
      <c r="AA13" s="92"/>
      <c r="AB13" s="91">
        <v>1943</v>
      </c>
      <c r="AC13" s="80" t="s">
        <v>209</v>
      </c>
      <c r="AF13" s="75" t="s">
        <v>181</v>
      </c>
      <c r="AG13" s="75" t="s">
        <v>181</v>
      </c>
      <c r="AH13" s="75" t="s">
        <v>181</v>
      </c>
      <c r="AI13" s="75" t="s">
        <v>182</v>
      </c>
      <c r="AJ13" s="92" t="s">
        <v>208</v>
      </c>
      <c r="AK13" s="92" t="s">
        <v>203</v>
      </c>
      <c r="AL13" s="92" t="s">
        <v>204</v>
      </c>
      <c r="AM13" s="92" t="s">
        <v>173</v>
      </c>
      <c r="AN13" s="92" t="s">
        <v>205</v>
      </c>
      <c r="AO13" s="92" t="s">
        <v>210</v>
      </c>
      <c r="AP13" s="92" t="s">
        <v>211</v>
      </c>
    </row>
    <row r="14" spans="1:46" s="75" customFormat="1" x14ac:dyDescent="0.3">
      <c r="B14" s="75" t="s">
        <v>360</v>
      </c>
      <c r="C14" s="75" t="s">
        <v>308</v>
      </c>
      <c r="D14" s="75" t="s">
        <v>307</v>
      </c>
      <c r="E14" s="75" t="s">
        <v>306</v>
      </c>
      <c r="F14" s="75" t="str">
        <f>Table1[[#This Row],[CEDS Element Name]]</f>
        <v>Economic Disadvantage Status</v>
      </c>
      <c r="G14" s="75" t="s">
        <v>222</v>
      </c>
      <c r="J14" s="98" t="s">
        <v>320</v>
      </c>
      <c r="K14" s="98" t="s">
        <v>323</v>
      </c>
      <c r="L14" s="75" t="s">
        <v>170</v>
      </c>
      <c r="M14" s="104" t="s">
        <v>217</v>
      </c>
      <c r="N14" s="104" t="s">
        <v>218</v>
      </c>
      <c r="O14" s="104" t="s">
        <v>173</v>
      </c>
      <c r="P14" s="104" t="s">
        <v>219</v>
      </c>
      <c r="Q14" s="75" t="s">
        <v>321</v>
      </c>
      <c r="T14" s="96" t="s">
        <v>206</v>
      </c>
      <c r="U14" s="92" t="s">
        <v>220</v>
      </c>
      <c r="V14" s="92" t="s">
        <v>221</v>
      </c>
      <c r="W14" s="75" t="s">
        <v>222</v>
      </c>
      <c r="Z14" s="75" t="s">
        <v>223</v>
      </c>
      <c r="AA14" s="92" t="s">
        <v>223</v>
      </c>
      <c r="AB14" s="91">
        <v>86</v>
      </c>
      <c r="AC14" s="80" t="s">
        <v>224</v>
      </c>
      <c r="AF14" s="75" t="s">
        <v>181</v>
      </c>
      <c r="AG14" s="75" t="s">
        <v>181</v>
      </c>
      <c r="AH14" s="75" t="s">
        <v>181</v>
      </c>
      <c r="AI14" s="75" t="s">
        <v>182</v>
      </c>
      <c r="AJ14" s="92" t="s">
        <v>225</v>
      </c>
      <c r="AK14" s="92" t="s">
        <v>217</v>
      </c>
      <c r="AL14" s="92" t="s">
        <v>218</v>
      </c>
      <c r="AM14" s="92" t="s">
        <v>173</v>
      </c>
      <c r="AN14" s="92" t="s">
        <v>219</v>
      </c>
      <c r="AO14" s="92" t="s">
        <v>210</v>
      </c>
      <c r="AP14" s="92" t="s">
        <v>226</v>
      </c>
    </row>
    <row r="15" spans="1:46" s="75" customFormat="1" x14ac:dyDescent="0.3">
      <c r="B15" s="75" t="s">
        <v>360</v>
      </c>
      <c r="C15" s="75" t="s">
        <v>308</v>
      </c>
      <c r="D15" s="75" t="s">
        <v>307</v>
      </c>
      <c r="E15" s="75" t="s">
        <v>306</v>
      </c>
      <c r="F15" s="75" t="str">
        <f>Table1[[#This Row],[CEDS Element Name]]</f>
        <v>Economic Disadvantage Status</v>
      </c>
      <c r="G15" s="75" t="s">
        <v>222</v>
      </c>
      <c r="J15" s="98" t="s">
        <v>319</v>
      </c>
      <c r="K15" s="98"/>
      <c r="L15" s="75" t="s">
        <v>170</v>
      </c>
      <c r="M15" s="104" t="s">
        <v>217</v>
      </c>
      <c r="N15" s="104" t="s">
        <v>218</v>
      </c>
      <c r="O15" s="104" t="s">
        <v>173</v>
      </c>
      <c r="P15" s="104" t="s">
        <v>219</v>
      </c>
      <c r="T15" s="96" t="s">
        <v>206</v>
      </c>
      <c r="U15" s="92" t="s">
        <v>220</v>
      </c>
      <c r="V15" s="92" t="s">
        <v>221</v>
      </c>
      <c r="W15" s="75" t="s">
        <v>222</v>
      </c>
      <c r="Z15" s="75" t="s">
        <v>227</v>
      </c>
      <c r="AA15" s="92" t="s">
        <v>227</v>
      </c>
      <c r="AB15" s="91">
        <v>86</v>
      </c>
      <c r="AC15" s="80" t="s">
        <v>224</v>
      </c>
      <c r="AF15" s="75" t="s">
        <v>181</v>
      </c>
      <c r="AG15" s="75" t="s">
        <v>181</v>
      </c>
      <c r="AH15" s="75" t="s">
        <v>181</v>
      </c>
      <c r="AI15" s="75" t="s">
        <v>182</v>
      </c>
      <c r="AJ15" s="92" t="s">
        <v>225</v>
      </c>
      <c r="AK15" s="92" t="s">
        <v>217</v>
      </c>
      <c r="AL15" s="92" t="s">
        <v>218</v>
      </c>
      <c r="AM15" s="92" t="s">
        <v>173</v>
      </c>
      <c r="AN15" s="92" t="s">
        <v>219</v>
      </c>
      <c r="AO15" s="92" t="s">
        <v>210</v>
      </c>
      <c r="AP15" s="92" t="s">
        <v>226</v>
      </c>
    </row>
    <row r="16" spans="1:46" s="75" customFormat="1" ht="129.6" x14ac:dyDescent="0.3">
      <c r="B16" s="75" t="s">
        <v>360</v>
      </c>
      <c r="C16" s="75" t="s">
        <v>308</v>
      </c>
      <c r="D16" s="75" t="s">
        <v>307</v>
      </c>
      <c r="E16" s="75" t="s">
        <v>306</v>
      </c>
      <c r="F16" s="75" t="str">
        <f>Table1[[#This Row],[CEDS Element Name]]</f>
        <v>English Learner Status</v>
      </c>
      <c r="G16" s="75" t="s">
        <v>228</v>
      </c>
      <c r="J16" s="98" t="s">
        <v>322</v>
      </c>
      <c r="K16" s="98" t="s">
        <v>324</v>
      </c>
      <c r="L16" s="75" t="s">
        <v>170</v>
      </c>
      <c r="M16" s="104" t="s">
        <v>229</v>
      </c>
      <c r="N16" s="104" t="s">
        <v>230</v>
      </c>
      <c r="O16" s="104" t="s">
        <v>173</v>
      </c>
      <c r="P16" s="104" t="s">
        <v>231</v>
      </c>
      <c r="Q16" s="75" t="s">
        <v>328</v>
      </c>
      <c r="T16" s="96" t="s">
        <v>206</v>
      </c>
      <c r="U16" s="92" t="s">
        <v>232</v>
      </c>
      <c r="V16" s="92" t="s">
        <v>233</v>
      </c>
      <c r="W16" s="75" t="s">
        <v>228</v>
      </c>
      <c r="Z16" s="75" t="s">
        <v>223</v>
      </c>
      <c r="AA16" s="92" t="s">
        <v>223</v>
      </c>
      <c r="AB16" s="91">
        <v>180</v>
      </c>
      <c r="AC16" s="80" t="s">
        <v>234</v>
      </c>
      <c r="AF16" s="75" t="s">
        <v>181</v>
      </c>
      <c r="AG16" s="75" t="s">
        <v>181</v>
      </c>
      <c r="AH16" s="75" t="s">
        <v>181</v>
      </c>
      <c r="AI16" s="75" t="s">
        <v>182</v>
      </c>
      <c r="AJ16" s="92" t="s">
        <v>235</v>
      </c>
      <c r="AK16" s="92" t="s">
        <v>229</v>
      </c>
      <c r="AL16" s="92" t="s">
        <v>230</v>
      </c>
      <c r="AM16" s="92" t="s">
        <v>173</v>
      </c>
      <c r="AN16" s="76" t="s">
        <v>231</v>
      </c>
      <c r="AO16" s="75" t="s">
        <v>183</v>
      </c>
      <c r="AP16" s="92" t="s">
        <v>236</v>
      </c>
    </row>
    <row r="17" spans="1:46" s="75" customFormat="1" ht="129.6" x14ac:dyDescent="0.3">
      <c r="B17" s="75" t="s">
        <v>360</v>
      </c>
      <c r="C17" s="75" t="s">
        <v>308</v>
      </c>
      <c r="D17" s="75" t="s">
        <v>307</v>
      </c>
      <c r="E17" s="75" t="s">
        <v>306</v>
      </c>
      <c r="F17" s="75" t="str">
        <f>Table1[[#This Row],[CEDS Element Name]]</f>
        <v>English Learner Status</v>
      </c>
      <c r="G17" s="75" t="s">
        <v>228</v>
      </c>
      <c r="J17" s="98" t="s">
        <v>319</v>
      </c>
      <c r="K17" s="98"/>
      <c r="L17" s="75" t="s">
        <v>170</v>
      </c>
      <c r="M17" s="104" t="s">
        <v>229</v>
      </c>
      <c r="N17" s="104" t="s">
        <v>230</v>
      </c>
      <c r="O17" s="104" t="s">
        <v>173</v>
      </c>
      <c r="P17" s="104" t="s">
        <v>231</v>
      </c>
      <c r="T17" s="96" t="s">
        <v>206</v>
      </c>
      <c r="U17" s="92" t="s">
        <v>232</v>
      </c>
      <c r="V17" s="92" t="s">
        <v>233</v>
      </c>
      <c r="W17" s="75" t="s">
        <v>228</v>
      </c>
      <c r="Z17" s="75" t="s">
        <v>227</v>
      </c>
      <c r="AA17" s="92" t="s">
        <v>227</v>
      </c>
      <c r="AB17" s="91">
        <v>180</v>
      </c>
      <c r="AC17" s="80" t="s">
        <v>234</v>
      </c>
      <c r="AF17" s="75" t="s">
        <v>181</v>
      </c>
      <c r="AG17" s="75" t="s">
        <v>181</v>
      </c>
      <c r="AH17" s="75" t="s">
        <v>181</v>
      </c>
      <c r="AI17" s="75" t="s">
        <v>182</v>
      </c>
      <c r="AJ17" s="92" t="s">
        <v>235</v>
      </c>
      <c r="AK17" s="92" t="s">
        <v>229</v>
      </c>
      <c r="AL17" s="92" t="s">
        <v>230</v>
      </c>
      <c r="AM17" s="92" t="s">
        <v>173</v>
      </c>
      <c r="AN17" s="76" t="s">
        <v>231</v>
      </c>
      <c r="AO17" s="75" t="s">
        <v>183</v>
      </c>
      <c r="AP17" s="92" t="s">
        <v>236</v>
      </c>
    </row>
    <row r="18" spans="1:46" s="75" customFormat="1" ht="72" x14ac:dyDescent="0.3">
      <c r="B18" s="75" t="s">
        <v>360</v>
      </c>
      <c r="C18" s="75" t="s">
        <v>308</v>
      </c>
      <c r="D18" s="75" t="s">
        <v>307</v>
      </c>
      <c r="E18" s="75" t="s">
        <v>306</v>
      </c>
      <c r="F18" s="75" t="str">
        <f>Table1[[#This Row],[CEDS Element Name]]</f>
        <v>IDEA Indicator</v>
      </c>
      <c r="G18" s="75" t="s">
        <v>237</v>
      </c>
      <c r="J18" s="98" t="s">
        <v>326</v>
      </c>
      <c r="K18" s="98" t="s">
        <v>325</v>
      </c>
      <c r="L18" s="75" t="s">
        <v>170</v>
      </c>
      <c r="M18" s="104" t="s">
        <v>238</v>
      </c>
      <c r="N18" s="104" t="s">
        <v>239</v>
      </c>
      <c r="O18" s="104" t="s">
        <v>173</v>
      </c>
      <c r="P18" s="104" t="s">
        <v>240</v>
      </c>
      <c r="Q18" s="75" t="s">
        <v>327</v>
      </c>
      <c r="T18" s="96" t="s">
        <v>206</v>
      </c>
      <c r="U18" s="92" t="s">
        <v>241</v>
      </c>
      <c r="V18" s="92" t="s">
        <v>242</v>
      </c>
      <c r="W18" s="75" t="s">
        <v>237</v>
      </c>
      <c r="Z18" s="75" t="s">
        <v>223</v>
      </c>
      <c r="AA18" s="92" t="s">
        <v>223</v>
      </c>
      <c r="AB18" s="91">
        <v>151</v>
      </c>
      <c r="AC18" s="80" t="s">
        <v>243</v>
      </c>
      <c r="AF18" s="75" t="s">
        <v>181</v>
      </c>
      <c r="AG18" s="75" t="s">
        <v>181</v>
      </c>
      <c r="AH18" s="75" t="s">
        <v>181</v>
      </c>
      <c r="AI18" s="75" t="s">
        <v>182</v>
      </c>
      <c r="AJ18" s="92" t="s">
        <v>244</v>
      </c>
      <c r="AK18" s="92" t="s">
        <v>238</v>
      </c>
      <c r="AL18" s="92" t="s">
        <v>239</v>
      </c>
      <c r="AM18" s="92" t="s">
        <v>173</v>
      </c>
      <c r="AN18" s="92" t="s">
        <v>240</v>
      </c>
      <c r="AO18" s="92" t="s">
        <v>210</v>
      </c>
      <c r="AP18" s="92" t="s">
        <v>245</v>
      </c>
    </row>
    <row r="19" spans="1:46" s="75" customFormat="1" ht="72" x14ac:dyDescent="0.3">
      <c r="B19" s="75" t="s">
        <v>360</v>
      </c>
      <c r="C19" s="75" t="s">
        <v>308</v>
      </c>
      <c r="D19" s="75" t="s">
        <v>307</v>
      </c>
      <c r="E19" s="75" t="s">
        <v>306</v>
      </c>
      <c r="F19" s="75" t="str">
        <f>Table1[[#This Row],[CEDS Element Name]]</f>
        <v>IDEA Indicator</v>
      </c>
      <c r="G19" s="75" t="s">
        <v>237</v>
      </c>
      <c r="J19" s="98" t="s">
        <v>319</v>
      </c>
      <c r="K19" s="98"/>
      <c r="L19" s="75" t="s">
        <v>170</v>
      </c>
      <c r="M19" s="104" t="s">
        <v>238</v>
      </c>
      <c r="N19" s="104" t="s">
        <v>239</v>
      </c>
      <c r="O19" s="104" t="s">
        <v>173</v>
      </c>
      <c r="P19" s="104" t="s">
        <v>240</v>
      </c>
      <c r="T19" s="96" t="s">
        <v>206</v>
      </c>
      <c r="U19" s="92" t="s">
        <v>246</v>
      </c>
      <c r="V19" s="92" t="s">
        <v>242</v>
      </c>
      <c r="W19" s="75" t="s">
        <v>237</v>
      </c>
      <c r="Z19" s="75" t="s">
        <v>227</v>
      </c>
      <c r="AA19" s="92" t="s">
        <v>227</v>
      </c>
      <c r="AB19" s="91">
        <v>151</v>
      </c>
      <c r="AC19" s="80" t="s">
        <v>243</v>
      </c>
      <c r="AF19" s="75" t="s">
        <v>181</v>
      </c>
      <c r="AG19" s="75" t="s">
        <v>181</v>
      </c>
      <c r="AH19" s="75" t="s">
        <v>181</v>
      </c>
      <c r="AI19" s="75" t="s">
        <v>182</v>
      </c>
      <c r="AJ19" s="92" t="s">
        <v>244</v>
      </c>
      <c r="AK19" s="92" t="s">
        <v>238</v>
      </c>
      <c r="AL19" s="92" t="s">
        <v>239</v>
      </c>
      <c r="AM19" s="92" t="s">
        <v>173</v>
      </c>
      <c r="AN19" s="92" t="s">
        <v>240</v>
      </c>
      <c r="AO19" s="92" t="s">
        <v>210</v>
      </c>
      <c r="AP19" s="92" t="s">
        <v>245</v>
      </c>
    </row>
    <row r="20" spans="1:46" s="75" customFormat="1" ht="73.95" customHeight="1" x14ac:dyDescent="0.3">
      <c r="B20" s="75" t="s">
        <v>360</v>
      </c>
      <c r="C20" s="75" t="s">
        <v>308</v>
      </c>
      <c r="D20" s="75" t="s">
        <v>307</v>
      </c>
      <c r="E20" s="75" t="s">
        <v>336</v>
      </c>
      <c r="F20" s="75" t="str">
        <f>Table1[[#This Row],[CEDS Element Name]]</f>
        <v>School Performance Indicator Category</v>
      </c>
      <c r="G20" s="75" t="s">
        <v>335</v>
      </c>
      <c r="J20" s="98" t="s">
        <v>329</v>
      </c>
      <c r="K20" s="98" t="s">
        <v>331</v>
      </c>
      <c r="M20" s="104" t="s">
        <v>249</v>
      </c>
      <c r="N20" s="104" t="s">
        <v>250</v>
      </c>
      <c r="O20" s="104" t="s">
        <v>173</v>
      </c>
      <c r="P20" s="104" t="s">
        <v>251</v>
      </c>
      <c r="T20" s="96" t="s">
        <v>349</v>
      </c>
      <c r="U20" s="75" t="s">
        <v>247</v>
      </c>
      <c r="V20" s="75" t="s">
        <v>357</v>
      </c>
      <c r="W20" s="75" t="s">
        <v>335</v>
      </c>
      <c r="Z20" s="75" t="s">
        <v>329</v>
      </c>
      <c r="AA20" s="75" t="s">
        <v>331</v>
      </c>
      <c r="AB20" s="91"/>
      <c r="AC20" s="80"/>
      <c r="AF20" s="75" t="s">
        <v>181</v>
      </c>
      <c r="AG20" s="75" t="s">
        <v>181</v>
      </c>
      <c r="AH20" s="75" t="s">
        <v>181</v>
      </c>
      <c r="AI20" s="75" t="s">
        <v>182</v>
      </c>
      <c r="AJ20" s="77" t="s">
        <v>248</v>
      </c>
      <c r="AK20" s="77" t="s">
        <v>249</v>
      </c>
      <c r="AL20" s="77" t="s">
        <v>250</v>
      </c>
      <c r="AM20" s="77" t="s">
        <v>173</v>
      </c>
      <c r="AN20" s="77" t="s">
        <v>251</v>
      </c>
      <c r="AO20" s="94" t="s">
        <v>196</v>
      </c>
      <c r="AP20" s="94" t="s">
        <v>196</v>
      </c>
    </row>
    <row r="21" spans="1:46" s="75" customFormat="1" ht="73.95" customHeight="1" x14ac:dyDescent="0.3">
      <c r="B21" s="75" t="s">
        <v>360</v>
      </c>
      <c r="C21" s="75" t="s">
        <v>308</v>
      </c>
      <c r="D21" s="75" t="s">
        <v>307</v>
      </c>
      <c r="E21" s="75" t="s">
        <v>345</v>
      </c>
      <c r="F21" s="75" t="str">
        <f>Table1[[#This Row],[CEDS Element Name]]</f>
        <v>School Performance Indicator Type</v>
      </c>
      <c r="G21" s="75" t="s">
        <v>355</v>
      </c>
      <c r="J21" s="98" t="s">
        <v>330</v>
      </c>
      <c r="K21" s="98" t="s">
        <v>332</v>
      </c>
      <c r="M21" s="104" t="s">
        <v>253</v>
      </c>
      <c r="N21" s="104" t="s">
        <v>254</v>
      </c>
      <c r="O21" s="104" t="s">
        <v>173</v>
      </c>
      <c r="P21" s="104" t="s">
        <v>255</v>
      </c>
      <c r="Q21" s="103" t="s">
        <v>348</v>
      </c>
      <c r="S21" s="75" t="s">
        <v>350</v>
      </c>
      <c r="T21" s="99" t="s">
        <v>349</v>
      </c>
      <c r="U21" s="75" t="s">
        <v>247</v>
      </c>
      <c r="V21" s="75" t="s">
        <v>358</v>
      </c>
      <c r="W21" s="75" t="s">
        <v>355</v>
      </c>
      <c r="Z21" s="75" t="s">
        <v>330</v>
      </c>
      <c r="AA21" s="75" t="s">
        <v>332</v>
      </c>
      <c r="AB21" s="91"/>
      <c r="AC21" s="80"/>
      <c r="AF21" s="75" t="s">
        <v>181</v>
      </c>
      <c r="AG21" s="75" t="s">
        <v>181</v>
      </c>
      <c r="AH21" s="75" t="s">
        <v>181</v>
      </c>
      <c r="AI21" s="75" t="s">
        <v>182</v>
      </c>
      <c r="AJ21" s="77" t="s">
        <v>252</v>
      </c>
      <c r="AK21" s="77" t="s">
        <v>253</v>
      </c>
      <c r="AL21" s="77" t="s">
        <v>254</v>
      </c>
      <c r="AM21" s="77" t="s">
        <v>173</v>
      </c>
      <c r="AN21" s="77" t="s">
        <v>255</v>
      </c>
      <c r="AO21" s="77" t="s">
        <v>210</v>
      </c>
      <c r="AP21" s="77" t="s">
        <v>256</v>
      </c>
    </row>
    <row r="22" spans="1:46" s="75" customFormat="1" ht="73.95" customHeight="1" x14ac:dyDescent="0.3">
      <c r="B22" s="75" t="s">
        <v>360</v>
      </c>
      <c r="C22" s="75" t="s">
        <v>308</v>
      </c>
      <c r="D22" s="75" t="s">
        <v>307</v>
      </c>
      <c r="E22" s="75" t="s">
        <v>346</v>
      </c>
      <c r="F22" s="75" t="str">
        <f>Table1[[#This Row],[CEDS Element Name]]</f>
        <v>School Performance Indicator Type</v>
      </c>
      <c r="G22" s="75" t="s">
        <v>355</v>
      </c>
      <c r="J22" s="98" t="s">
        <v>333</v>
      </c>
      <c r="K22" s="98" t="s">
        <v>334</v>
      </c>
      <c r="M22" s="104" t="s">
        <v>253</v>
      </c>
      <c r="N22" s="104" t="s">
        <v>254</v>
      </c>
      <c r="O22" s="104" t="s">
        <v>173</v>
      </c>
      <c r="P22" s="104" t="s">
        <v>255</v>
      </c>
      <c r="Q22" s="103" t="s">
        <v>347</v>
      </c>
      <c r="S22" s="75" t="s">
        <v>350</v>
      </c>
      <c r="T22" s="99" t="s">
        <v>349</v>
      </c>
      <c r="U22" s="75" t="s">
        <v>247</v>
      </c>
      <c r="V22" s="75" t="s">
        <v>358</v>
      </c>
      <c r="W22" s="75" t="s">
        <v>355</v>
      </c>
      <c r="Z22" s="75" t="s">
        <v>333</v>
      </c>
      <c r="AA22" s="75" t="s">
        <v>334</v>
      </c>
      <c r="AB22" s="91"/>
      <c r="AC22" s="80"/>
      <c r="AF22" s="75" t="s">
        <v>181</v>
      </c>
      <c r="AG22" s="75" t="s">
        <v>181</v>
      </c>
      <c r="AH22" s="75" t="s">
        <v>181</v>
      </c>
      <c r="AI22" s="75" t="s">
        <v>182</v>
      </c>
      <c r="AJ22" s="77" t="s">
        <v>252</v>
      </c>
      <c r="AK22" s="77" t="s">
        <v>253</v>
      </c>
      <c r="AL22" s="77" t="s">
        <v>254</v>
      </c>
      <c r="AM22" s="77" t="s">
        <v>173</v>
      </c>
      <c r="AN22" s="77" t="s">
        <v>255</v>
      </c>
      <c r="AO22" s="77" t="s">
        <v>210</v>
      </c>
      <c r="AP22" s="77" t="s">
        <v>256</v>
      </c>
    </row>
    <row r="23" spans="1:46" ht="28.8" x14ac:dyDescent="0.3">
      <c r="A23" s="75"/>
      <c r="B23" s="75" t="s">
        <v>360</v>
      </c>
      <c r="C23" s="98" t="s">
        <v>308</v>
      </c>
      <c r="D23" s="98" t="s">
        <v>307</v>
      </c>
      <c r="E23" s="99" t="s">
        <v>345</v>
      </c>
      <c r="F23" s="75" t="str">
        <f>Table1[[#This Row],[CEDS Element Name]]</f>
        <v>School Performance Indicator Status</v>
      </c>
      <c r="G23" s="75" t="s">
        <v>356</v>
      </c>
      <c r="H23" s="75"/>
      <c r="I23" s="75"/>
      <c r="J23" s="101" t="s">
        <v>267</v>
      </c>
      <c r="K23" s="101" t="s">
        <v>268</v>
      </c>
      <c r="L23" s="75" t="s">
        <v>170</v>
      </c>
      <c r="M23" s="104" t="s">
        <v>264</v>
      </c>
      <c r="N23" s="104" t="s">
        <v>259</v>
      </c>
      <c r="O23" s="104" t="s">
        <v>173</v>
      </c>
      <c r="P23" s="104" t="s">
        <v>296</v>
      </c>
      <c r="Q23" s="75" t="s">
        <v>351</v>
      </c>
      <c r="R23" s="75"/>
      <c r="S23" s="75" t="s">
        <v>353</v>
      </c>
      <c r="T23" s="96" t="s">
        <v>349</v>
      </c>
      <c r="U23" s="76"/>
      <c r="V23" s="75" t="s">
        <v>359</v>
      </c>
      <c r="W23" s="76" t="s">
        <v>356</v>
      </c>
      <c r="X23" s="76"/>
      <c r="Y23" s="76"/>
      <c r="Z23" s="76" t="s">
        <v>267</v>
      </c>
      <c r="AA23" s="76" t="s">
        <v>268</v>
      </c>
      <c r="AB23" s="89">
        <v>2140</v>
      </c>
      <c r="AC23" s="90">
        <v>76650</v>
      </c>
      <c r="AD23" s="75"/>
      <c r="AE23" s="75"/>
      <c r="AF23" s="76" t="s">
        <v>181</v>
      </c>
      <c r="AG23" s="76" t="s">
        <v>181</v>
      </c>
      <c r="AH23" s="76" t="s">
        <v>181</v>
      </c>
      <c r="AI23" s="75" t="s">
        <v>182</v>
      </c>
      <c r="AJ23" s="76" t="s">
        <v>263</v>
      </c>
      <c r="AK23" s="75" t="s">
        <v>264</v>
      </c>
      <c r="AL23" s="75" t="s">
        <v>259</v>
      </c>
      <c r="AM23" s="75" t="s">
        <v>173</v>
      </c>
      <c r="AN23" s="75" t="s">
        <v>296</v>
      </c>
      <c r="AO23" s="75" t="s">
        <v>183</v>
      </c>
      <c r="AP23" s="75" t="s">
        <v>297</v>
      </c>
      <c r="AQ23" s="75"/>
      <c r="AR23" s="75"/>
      <c r="AS23" s="75"/>
      <c r="AT23" s="75"/>
    </row>
    <row r="24" spans="1:46" ht="28.8" x14ac:dyDescent="0.3">
      <c r="A24" s="75"/>
      <c r="B24" s="75" t="s">
        <v>360</v>
      </c>
      <c r="C24" s="98" t="s">
        <v>308</v>
      </c>
      <c r="D24" s="98" t="s">
        <v>307</v>
      </c>
      <c r="E24" s="99" t="s">
        <v>345</v>
      </c>
      <c r="F24" s="75" t="str">
        <f>Table1[[#This Row],[CEDS Element Name]]</f>
        <v>School Performance Indicator Status</v>
      </c>
      <c r="G24" s="75" t="s">
        <v>356</v>
      </c>
      <c r="H24" s="75"/>
      <c r="I24" s="75"/>
      <c r="J24" s="101" t="s">
        <v>265</v>
      </c>
      <c r="K24" s="101" t="s">
        <v>266</v>
      </c>
      <c r="L24" s="75" t="s">
        <v>170</v>
      </c>
      <c r="M24" s="104" t="s">
        <v>264</v>
      </c>
      <c r="N24" s="104" t="s">
        <v>259</v>
      </c>
      <c r="O24" s="104" t="s">
        <v>173</v>
      </c>
      <c r="P24" s="104" t="s">
        <v>296</v>
      </c>
      <c r="Q24" s="75" t="s">
        <v>309</v>
      </c>
      <c r="R24" s="75"/>
      <c r="S24" s="75" t="s">
        <v>353</v>
      </c>
      <c r="T24" s="96" t="s">
        <v>349</v>
      </c>
      <c r="U24" s="76"/>
      <c r="V24" s="75" t="s">
        <v>359</v>
      </c>
      <c r="W24" s="76" t="s">
        <v>356</v>
      </c>
      <c r="X24" s="76"/>
      <c r="Y24" s="76"/>
      <c r="Z24" s="76" t="s">
        <v>265</v>
      </c>
      <c r="AA24" s="76" t="s">
        <v>266</v>
      </c>
      <c r="AB24" s="89">
        <v>2140</v>
      </c>
      <c r="AC24" s="90">
        <v>76650</v>
      </c>
      <c r="AD24" s="75"/>
      <c r="AE24" s="75"/>
      <c r="AF24" s="76" t="s">
        <v>181</v>
      </c>
      <c r="AG24" s="76" t="s">
        <v>181</v>
      </c>
      <c r="AH24" s="76" t="s">
        <v>181</v>
      </c>
      <c r="AI24" s="75" t="s">
        <v>182</v>
      </c>
      <c r="AJ24" s="76" t="s">
        <v>263</v>
      </c>
      <c r="AK24" s="75" t="s">
        <v>264</v>
      </c>
      <c r="AL24" s="75" t="s">
        <v>259</v>
      </c>
      <c r="AM24" s="75" t="s">
        <v>173</v>
      </c>
      <c r="AN24" s="75" t="s">
        <v>296</v>
      </c>
      <c r="AO24" s="75" t="s">
        <v>183</v>
      </c>
      <c r="AP24" s="75" t="s">
        <v>297</v>
      </c>
      <c r="AQ24" s="75"/>
      <c r="AR24" s="75"/>
      <c r="AS24" s="75"/>
      <c r="AT24" s="75"/>
    </row>
    <row r="25" spans="1:46" ht="28.8" x14ac:dyDescent="0.3">
      <c r="A25" s="75"/>
      <c r="B25" s="75" t="s">
        <v>360</v>
      </c>
      <c r="C25" s="98" t="s">
        <v>308</v>
      </c>
      <c r="D25" s="98" t="s">
        <v>307</v>
      </c>
      <c r="E25" s="99" t="s">
        <v>346</v>
      </c>
      <c r="F25" s="75" t="str">
        <f>Table1[[#This Row],[CEDS Element Name]]</f>
        <v>School Performance Indicator Status</v>
      </c>
      <c r="G25" s="75" t="s">
        <v>356</v>
      </c>
      <c r="H25" s="75"/>
      <c r="I25" s="75"/>
      <c r="J25" s="101" t="s">
        <v>267</v>
      </c>
      <c r="K25" s="101" t="s">
        <v>268</v>
      </c>
      <c r="L25" s="75" t="s">
        <v>170</v>
      </c>
      <c r="M25" s="104" t="s">
        <v>264</v>
      </c>
      <c r="N25" s="104" t="s">
        <v>259</v>
      </c>
      <c r="O25" s="104" t="s">
        <v>173</v>
      </c>
      <c r="P25" s="104" t="s">
        <v>296</v>
      </c>
      <c r="Q25" s="75" t="s">
        <v>352</v>
      </c>
      <c r="R25" s="75"/>
      <c r="S25" s="75" t="s">
        <v>354</v>
      </c>
      <c r="T25" s="96" t="s">
        <v>349</v>
      </c>
      <c r="U25" s="76"/>
      <c r="V25" s="75" t="s">
        <v>359</v>
      </c>
      <c r="W25" s="76" t="s">
        <v>356</v>
      </c>
      <c r="X25" s="76"/>
      <c r="Y25" s="76"/>
      <c r="Z25" s="76" t="s">
        <v>267</v>
      </c>
      <c r="AA25" s="76" t="s">
        <v>268</v>
      </c>
      <c r="AB25" s="89">
        <v>2140</v>
      </c>
      <c r="AC25" s="90">
        <v>76650</v>
      </c>
      <c r="AD25" s="75"/>
      <c r="AE25" s="75"/>
      <c r="AF25" s="76" t="s">
        <v>181</v>
      </c>
      <c r="AG25" s="76" t="s">
        <v>181</v>
      </c>
      <c r="AH25" s="76" t="s">
        <v>181</v>
      </c>
      <c r="AI25" s="75" t="s">
        <v>182</v>
      </c>
      <c r="AJ25" s="76" t="s">
        <v>263</v>
      </c>
      <c r="AK25" s="75" t="s">
        <v>264</v>
      </c>
      <c r="AL25" s="75" t="s">
        <v>259</v>
      </c>
      <c r="AM25" s="75" t="s">
        <v>173</v>
      </c>
      <c r="AN25" s="75" t="s">
        <v>296</v>
      </c>
      <c r="AO25" s="75" t="s">
        <v>183</v>
      </c>
      <c r="AP25" s="75" t="s">
        <v>297</v>
      </c>
      <c r="AQ25" s="75"/>
      <c r="AR25" s="75"/>
      <c r="AS25" s="75"/>
      <c r="AT25" s="75"/>
    </row>
    <row r="26" spans="1:46" ht="28.8" x14ac:dyDescent="0.3">
      <c r="A26" s="75"/>
      <c r="B26" s="75" t="s">
        <v>360</v>
      </c>
      <c r="C26" s="98" t="s">
        <v>308</v>
      </c>
      <c r="D26" s="98" t="s">
        <v>307</v>
      </c>
      <c r="E26" s="99" t="s">
        <v>346</v>
      </c>
      <c r="F26" s="75" t="str">
        <f>Table1[[#This Row],[CEDS Element Name]]</f>
        <v>School Performance Indicator Status</v>
      </c>
      <c r="G26" s="75" t="s">
        <v>356</v>
      </c>
      <c r="H26" s="75"/>
      <c r="I26" s="75"/>
      <c r="J26" s="101" t="s">
        <v>265</v>
      </c>
      <c r="K26" s="101" t="s">
        <v>266</v>
      </c>
      <c r="L26" s="75" t="s">
        <v>170</v>
      </c>
      <c r="M26" s="104" t="s">
        <v>264</v>
      </c>
      <c r="N26" s="104" t="s">
        <v>259</v>
      </c>
      <c r="O26" s="104" t="s">
        <v>173</v>
      </c>
      <c r="P26" s="104" t="s">
        <v>296</v>
      </c>
      <c r="Q26" s="75" t="s">
        <v>309</v>
      </c>
      <c r="R26" s="75"/>
      <c r="S26" s="75" t="s">
        <v>354</v>
      </c>
      <c r="T26" s="96" t="s">
        <v>349</v>
      </c>
      <c r="U26" s="76"/>
      <c r="V26" s="75" t="s">
        <v>359</v>
      </c>
      <c r="W26" s="76" t="s">
        <v>356</v>
      </c>
      <c r="X26" s="76"/>
      <c r="Y26" s="76"/>
      <c r="Z26" s="76" t="s">
        <v>265</v>
      </c>
      <c r="AA26" s="76" t="s">
        <v>266</v>
      </c>
      <c r="AB26" s="89">
        <v>2140</v>
      </c>
      <c r="AC26" s="90">
        <v>76650</v>
      </c>
      <c r="AD26" s="75"/>
      <c r="AE26" s="75"/>
      <c r="AF26" s="76" t="s">
        <v>181</v>
      </c>
      <c r="AG26" s="76" t="s">
        <v>181</v>
      </c>
      <c r="AH26" s="76" t="s">
        <v>181</v>
      </c>
      <c r="AI26" s="75" t="s">
        <v>182</v>
      </c>
      <c r="AJ26" s="76" t="s">
        <v>263</v>
      </c>
      <c r="AK26" s="75" t="s">
        <v>264</v>
      </c>
      <c r="AL26" s="75" t="s">
        <v>259</v>
      </c>
      <c r="AM26" s="75" t="s">
        <v>173</v>
      </c>
      <c r="AN26" s="75" t="s">
        <v>296</v>
      </c>
      <c r="AO26" s="75" t="s">
        <v>183</v>
      </c>
      <c r="AP26" s="75" t="s">
        <v>297</v>
      </c>
      <c r="AQ26" s="75"/>
      <c r="AR26" s="75"/>
      <c r="AS26" s="75"/>
      <c r="AT26" s="75"/>
    </row>
    <row r="27" spans="1:46" x14ac:dyDescent="0.3">
      <c r="A27" s="75"/>
      <c r="B27" s="75" t="s">
        <v>360</v>
      </c>
      <c r="C27" s="75" t="s">
        <v>319</v>
      </c>
      <c r="D27" s="75" t="s">
        <v>319</v>
      </c>
      <c r="E27" s="75" t="s">
        <v>319</v>
      </c>
      <c r="F27" s="75" t="str">
        <f>Table1[[#This Row],[CEDS Element Name]]</f>
        <v>School Performance Indicator Status</v>
      </c>
      <c r="G27" s="75"/>
      <c r="H27" s="75"/>
      <c r="I27" s="75"/>
      <c r="J27" s="101" t="s">
        <v>261</v>
      </c>
      <c r="K27" s="101" t="s">
        <v>262</v>
      </c>
      <c r="L27" s="75" t="s">
        <v>170</v>
      </c>
      <c r="M27" s="104" t="s">
        <v>264</v>
      </c>
      <c r="N27" s="104" t="s">
        <v>259</v>
      </c>
      <c r="O27" s="104" t="s">
        <v>173</v>
      </c>
      <c r="P27" s="104" t="s">
        <v>296</v>
      </c>
      <c r="Q27" s="75"/>
      <c r="R27" s="75"/>
      <c r="S27" s="75"/>
      <c r="T27" s="96" t="s">
        <v>176</v>
      </c>
      <c r="U27" s="76"/>
      <c r="V27" s="75" t="s">
        <v>359</v>
      </c>
      <c r="W27" s="76"/>
      <c r="X27" s="76"/>
      <c r="Y27" s="76"/>
      <c r="Z27" s="95" t="s">
        <v>261</v>
      </c>
      <c r="AA27" s="95" t="s">
        <v>262</v>
      </c>
      <c r="AB27" s="89">
        <v>2140</v>
      </c>
      <c r="AC27" s="90">
        <v>76650</v>
      </c>
      <c r="AD27" s="75"/>
      <c r="AE27" s="75"/>
      <c r="AF27" s="76" t="s">
        <v>181</v>
      </c>
      <c r="AG27" s="76" t="s">
        <v>181</v>
      </c>
      <c r="AH27" s="76" t="s">
        <v>181</v>
      </c>
      <c r="AI27" s="75" t="s">
        <v>182</v>
      </c>
      <c r="AJ27" s="76" t="s">
        <v>263</v>
      </c>
      <c r="AK27" s="75" t="s">
        <v>264</v>
      </c>
      <c r="AL27" s="75" t="s">
        <v>259</v>
      </c>
      <c r="AM27" s="75" t="s">
        <v>173</v>
      </c>
      <c r="AN27" s="75" t="s">
        <v>296</v>
      </c>
      <c r="AO27" s="75" t="s">
        <v>183</v>
      </c>
      <c r="AP27" s="75" t="s">
        <v>297</v>
      </c>
      <c r="AQ27" s="75"/>
      <c r="AR27" s="75"/>
      <c r="AS27" s="75"/>
      <c r="AT27" s="75"/>
    </row>
    <row r="28" spans="1:46" ht="72" x14ac:dyDescent="0.3">
      <c r="A28" s="75"/>
      <c r="B28" s="75" t="s">
        <v>360</v>
      </c>
      <c r="C28" s="75" t="s">
        <v>308</v>
      </c>
      <c r="D28" s="75" t="s">
        <v>307</v>
      </c>
      <c r="E28" s="96" t="s">
        <v>345</v>
      </c>
      <c r="F28" s="75" t="str">
        <f>Table1[[#This Row],[CEDS Element Name]]</f>
        <v>School Performance Indicator State Defined Status Code</v>
      </c>
      <c r="G28" s="75" t="str">
        <f>Table1[[#This Row],[CEDS Element Definition]]</f>
        <v>The state defined indicator status.Required when STTDEF permitted value above is used.</v>
      </c>
      <c r="H28" s="75"/>
      <c r="I28" s="75"/>
      <c r="J28" s="101"/>
      <c r="K28" s="101"/>
      <c r="L28" s="75"/>
      <c r="M28" s="104" t="str">
        <f>Table1[[#This Row],[Destination RDS Dimension Table Name]]</f>
        <v>DimSchoolPerformanceIndicatorStateDefinedStatuses</v>
      </c>
      <c r="N28" s="104" t="str">
        <f>Table1[[#This Row],[Destination RDS Dimension Column Name]]</f>
        <v>SchoolPerformanceIndicatorStateDefinedStatusCode</v>
      </c>
      <c r="O28" s="104" t="str">
        <f>Table1[[#This Row],[Destination RDS Fact Table Name]]</f>
        <v>FactSchoolPerformanceIndicators</v>
      </c>
      <c r="P28" s="104" t="str">
        <f>Table1[[#This Row],[Destination RDS Fact Column Name]]</f>
        <v>SchoolPerformanceIndicatorStateDefinedStatusId</v>
      </c>
      <c r="Q28" s="75" t="s">
        <v>348</v>
      </c>
      <c r="R28" s="75"/>
      <c r="S28" s="75" t="s">
        <v>350</v>
      </c>
      <c r="T28" s="96" t="str">
        <f>T21</f>
        <v>FS200</v>
      </c>
      <c r="U28" s="76" t="s">
        <v>247</v>
      </c>
      <c r="V28" s="75" t="s">
        <v>374</v>
      </c>
      <c r="W28" s="76" t="s">
        <v>375</v>
      </c>
      <c r="X28" s="76"/>
      <c r="Y28" s="76"/>
      <c r="Z28" s="78"/>
      <c r="AA28" s="78"/>
      <c r="AB28" s="89"/>
      <c r="AC28" s="90"/>
      <c r="AD28" s="75"/>
      <c r="AE28" s="75"/>
      <c r="AF28" s="76" t="s">
        <v>181</v>
      </c>
      <c r="AG28" s="76" t="s">
        <v>181</v>
      </c>
      <c r="AH28" s="76" t="s">
        <v>181</v>
      </c>
      <c r="AI28" s="75" t="s">
        <v>182</v>
      </c>
      <c r="AJ28" s="76" t="s">
        <v>376</v>
      </c>
      <c r="AK28" s="75" t="s">
        <v>371</v>
      </c>
      <c r="AL28" s="75" t="s">
        <v>370</v>
      </c>
      <c r="AM28" s="75" t="s">
        <v>173</v>
      </c>
      <c r="AN28" s="75" t="s">
        <v>372</v>
      </c>
      <c r="AO28" s="75" t="s">
        <v>210</v>
      </c>
      <c r="AP28" s="75" t="s">
        <v>373</v>
      </c>
      <c r="AQ28" s="75"/>
      <c r="AR28" s="75"/>
      <c r="AS28" s="75"/>
      <c r="AT28" s="75"/>
    </row>
    <row r="29" spans="1:46" ht="72" x14ac:dyDescent="0.3">
      <c r="A29" s="75"/>
      <c r="B29" s="75" t="s">
        <v>360</v>
      </c>
      <c r="C29" s="75" t="s">
        <v>308</v>
      </c>
      <c r="D29" s="75" t="s">
        <v>307</v>
      </c>
      <c r="E29" s="96" t="s">
        <v>346</v>
      </c>
      <c r="F29" s="75" t="str">
        <f>Table1[[#This Row],[CEDS Element Name]]</f>
        <v>School Performance Indicator State Defined Status Code</v>
      </c>
      <c r="G29" s="75" t="str">
        <f>Table1[[#This Row],[CEDS Element Definition]]</f>
        <v>The state defined indicator status.Required when STTDEF permitted value above is used.</v>
      </c>
      <c r="H29" s="75"/>
      <c r="I29" s="75"/>
      <c r="J29" s="101"/>
      <c r="K29" s="101"/>
      <c r="L29" s="75"/>
      <c r="M29" s="104" t="str">
        <f>Table1[[#This Row],[Destination RDS Dimension Table Name]]</f>
        <v>DimSchoolPerformanceIndicatorStateDefinedStatuses</v>
      </c>
      <c r="N29" s="104" t="str">
        <f>Table1[[#This Row],[Destination RDS Dimension Column Name]]</f>
        <v>SchoolPerformanceIndicatorStateDefinedStatusCode</v>
      </c>
      <c r="O29" s="104" t="str">
        <f>Table1[[#This Row],[Destination RDS Fact Table Name]]</f>
        <v>FactSchoolPerformanceIndicators</v>
      </c>
      <c r="P29" s="104" t="str">
        <f>Table1[[#This Row],[Destination RDS Fact Column Name]]</f>
        <v>SchoolPerformanceIndicatorStateDefinedStatusId</v>
      </c>
      <c r="Q29" s="75" t="s">
        <v>347</v>
      </c>
      <c r="R29" s="75"/>
      <c r="S29" s="75" t="s">
        <v>350</v>
      </c>
      <c r="T29" s="96" t="str">
        <f>T22</f>
        <v>FS200</v>
      </c>
      <c r="U29" s="76" t="s">
        <v>247</v>
      </c>
      <c r="V29" s="75" t="s">
        <v>374</v>
      </c>
      <c r="W29" s="76" t="s">
        <v>375</v>
      </c>
      <c r="X29" s="76"/>
      <c r="Y29" s="76"/>
      <c r="Z29" s="78"/>
      <c r="AA29" s="78"/>
      <c r="AB29" s="89"/>
      <c r="AC29" s="90"/>
      <c r="AD29" s="75"/>
      <c r="AE29" s="75"/>
      <c r="AF29" s="76" t="s">
        <v>181</v>
      </c>
      <c r="AG29" s="76" t="s">
        <v>181</v>
      </c>
      <c r="AH29" s="76" t="s">
        <v>181</v>
      </c>
      <c r="AI29" s="75" t="s">
        <v>182</v>
      </c>
      <c r="AJ29" s="76" t="s">
        <v>376</v>
      </c>
      <c r="AK29" s="75" t="s">
        <v>371</v>
      </c>
      <c r="AL29" s="75" t="s">
        <v>370</v>
      </c>
      <c r="AM29" s="75" t="s">
        <v>173</v>
      </c>
      <c r="AN29" s="75" t="s">
        <v>372</v>
      </c>
      <c r="AO29" s="75" t="s">
        <v>210</v>
      </c>
      <c r="AP29" s="75" t="s">
        <v>373</v>
      </c>
      <c r="AQ29" s="75"/>
      <c r="AR29" s="75"/>
      <c r="AS29" s="75"/>
      <c r="AT29" s="75"/>
    </row>
    <row r="30" spans="1:46" x14ac:dyDescent="0.3">
      <c r="A30" s="93"/>
      <c r="B30" s="93" t="s">
        <v>360</v>
      </c>
      <c r="C30" s="93"/>
      <c r="D30" s="93" t="s">
        <v>258</v>
      </c>
      <c r="E30" s="85" t="s">
        <v>270</v>
      </c>
      <c r="F30" s="93" t="str">
        <f>Table1[[#This Row],[CEDS Element Name]]</f>
        <v>Metric Type</v>
      </c>
      <c r="G30" s="93"/>
      <c r="H30" s="93"/>
      <c r="I30" s="93"/>
      <c r="J30" s="102"/>
      <c r="K30" s="102"/>
      <c r="L30" s="93" t="s">
        <v>170</v>
      </c>
      <c r="M30" s="85" t="s">
        <v>269</v>
      </c>
      <c r="N30" s="85" t="s">
        <v>269</v>
      </c>
      <c r="O30" s="85" t="s">
        <v>173</v>
      </c>
      <c r="P30" s="85" t="s">
        <v>269</v>
      </c>
      <c r="Q30" s="93"/>
      <c r="R30" s="93"/>
      <c r="S30" s="93" t="s">
        <v>260</v>
      </c>
      <c r="T30" s="97" t="s">
        <v>257</v>
      </c>
      <c r="U30" s="86" t="s">
        <v>271</v>
      </c>
      <c r="V30" s="86" t="s">
        <v>272</v>
      </c>
      <c r="W30" s="86" t="s">
        <v>273</v>
      </c>
      <c r="X30" s="86"/>
      <c r="Y30" s="86"/>
      <c r="Z30" s="86" t="s">
        <v>274</v>
      </c>
      <c r="AA30" s="86" t="s">
        <v>275</v>
      </c>
      <c r="AB30" s="87">
        <v>2141</v>
      </c>
      <c r="AC30" s="87">
        <v>76651</v>
      </c>
      <c r="AD30" s="86"/>
      <c r="AE30" s="93"/>
      <c r="AF30" s="93" t="s">
        <v>181</v>
      </c>
      <c r="AG30" s="93" t="s">
        <v>181</v>
      </c>
      <c r="AH30" s="93" t="s">
        <v>181</v>
      </c>
      <c r="AI30" s="93" t="s">
        <v>182</v>
      </c>
      <c r="AJ30" s="85" t="s">
        <v>269</v>
      </c>
      <c r="AK30" s="85" t="s">
        <v>269</v>
      </c>
      <c r="AL30" s="85" t="s">
        <v>269</v>
      </c>
      <c r="AM30" s="85" t="s">
        <v>173</v>
      </c>
      <c r="AN30" s="85" t="s">
        <v>269</v>
      </c>
      <c r="AO30" s="93" t="s">
        <v>183</v>
      </c>
      <c r="AP30" s="85" t="s">
        <v>269</v>
      </c>
      <c r="AQ30" s="93"/>
      <c r="AR30" s="93"/>
      <c r="AS30" s="93"/>
      <c r="AT30" s="93"/>
    </row>
    <row r="31" spans="1:46" x14ac:dyDescent="0.3">
      <c r="A31" s="93"/>
      <c r="B31" s="93" t="s">
        <v>360</v>
      </c>
      <c r="C31" s="93"/>
      <c r="D31" s="93" t="s">
        <v>258</v>
      </c>
      <c r="E31" s="85" t="s">
        <v>270</v>
      </c>
      <c r="F31" s="93" t="str">
        <f>Table1[[#This Row],[CEDS Element Name]]</f>
        <v>Metric Type</v>
      </c>
      <c r="G31" s="93"/>
      <c r="H31" s="93"/>
      <c r="I31" s="93"/>
      <c r="J31" s="102"/>
      <c r="K31" s="102"/>
      <c r="L31" s="93" t="s">
        <v>170</v>
      </c>
      <c r="M31" s="85" t="s">
        <v>269</v>
      </c>
      <c r="N31" s="85" t="s">
        <v>269</v>
      </c>
      <c r="O31" s="85" t="s">
        <v>173</v>
      </c>
      <c r="P31" s="85" t="s">
        <v>269</v>
      </c>
      <c r="Q31" s="93"/>
      <c r="R31" s="93"/>
      <c r="S31" s="93" t="s">
        <v>260</v>
      </c>
      <c r="T31" s="97" t="s">
        <v>257</v>
      </c>
      <c r="U31" s="86" t="s">
        <v>271</v>
      </c>
      <c r="V31" s="86" t="s">
        <v>272</v>
      </c>
      <c r="W31" s="86" t="s">
        <v>273</v>
      </c>
      <c r="X31" s="86"/>
      <c r="Y31" s="86"/>
      <c r="Z31" s="86" t="s">
        <v>276</v>
      </c>
      <c r="AA31" s="86" t="s">
        <v>277</v>
      </c>
      <c r="AB31" s="87">
        <v>2141</v>
      </c>
      <c r="AC31" s="87">
        <v>76651</v>
      </c>
      <c r="AD31" s="86"/>
      <c r="AE31" s="93"/>
      <c r="AF31" s="93" t="s">
        <v>181</v>
      </c>
      <c r="AG31" s="93" t="s">
        <v>181</v>
      </c>
      <c r="AH31" s="93" t="s">
        <v>181</v>
      </c>
      <c r="AI31" s="93" t="s">
        <v>182</v>
      </c>
      <c r="AJ31" s="85" t="s">
        <v>269</v>
      </c>
      <c r="AK31" s="85" t="s">
        <v>269</v>
      </c>
      <c r="AL31" s="85" t="s">
        <v>269</v>
      </c>
      <c r="AM31" s="85" t="s">
        <v>173</v>
      </c>
      <c r="AN31" s="85" t="s">
        <v>269</v>
      </c>
      <c r="AO31" s="93" t="s">
        <v>183</v>
      </c>
      <c r="AP31" s="85" t="s">
        <v>269</v>
      </c>
      <c r="AQ31" s="93"/>
      <c r="AR31" s="93"/>
      <c r="AS31" s="93"/>
      <c r="AT31" s="93"/>
    </row>
    <row r="32" spans="1:46" ht="28.8" x14ac:dyDescent="0.3">
      <c r="A32" s="93"/>
      <c r="B32" s="93" t="s">
        <v>360</v>
      </c>
      <c r="C32" s="93"/>
      <c r="D32" s="93" t="s">
        <v>258</v>
      </c>
      <c r="E32" s="85" t="s">
        <v>270</v>
      </c>
      <c r="F32" s="93" t="str">
        <f>Table1[[#This Row],[CEDS Element Name]]</f>
        <v>Metric Type</v>
      </c>
      <c r="G32" s="93"/>
      <c r="H32" s="93"/>
      <c r="I32" s="93"/>
      <c r="J32" s="102"/>
      <c r="K32" s="102"/>
      <c r="L32" s="93" t="s">
        <v>170</v>
      </c>
      <c r="M32" s="85" t="s">
        <v>269</v>
      </c>
      <c r="N32" s="85" t="s">
        <v>269</v>
      </c>
      <c r="O32" s="85" t="s">
        <v>173</v>
      </c>
      <c r="P32" s="85" t="s">
        <v>269</v>
      </c>
      <c r="Q32" s="93"/>
      <c r="R32" s="93"/>
      <c r="S32" s="93" t="s">
        <v>260</v>
      </c>
      <c r="T32" s="97" t="s">
        <v>257</v>
      </c>
      <c r="U32" s="86" t="s">
        <v>271</v>
      </c>
      <c r="V32" s="86" t="s">
        <v>272</v>
      </c>
      <c r="W32" s="86" t="s">
        <v>273</v>
      </c>
      <c r="X32" s="86"/>
      <c r="Y32" s="86"/>
      <c r="Z32" s="86" t="s">
        <v>278</v>
      </c>
      <c r="AA32" s="86" t="s">
        <v>279</v>
      </c>
      <c r="AB32" s="87">
        <v>2141</v>
      </c>
      <c r="AC32" s="87">
        <v>76651</v>
      </c>
      <c r="AD32" s="86"/>
      <c r="AE32" s="93"/>
      <c r="AF32" s="93" t="s">
        <v>181</v>
      </c>
      <c r="AG32" s="93" t="s">
        <v>181</v>
      </c>
      <c r="AH32" s="93" t="s">
        <v>181</v>
      </c>
      <c r="AI32" s="93" t="s">
        <v>182</v>
      </c>
      <c r="AJ32" s="85" t="s">
        <v>269</v>
      </c>
      <c r="AK32" s="85" t="s">
        <v>269</v>
      </c>
      <c r="AL32" s="85" t="s">
        <v>269</v>
      </c>
      <c r="AM32" s="85" t="s">
        <v>173</v>
      </c>
      <c r="AN32" s="85" t="s">
        <v>269</v>
      </c>
      <c r="AO32" s="93" t="s">
        <v>183</v>
      </c>
      <c r="AP32" s="85" t="s">
        <v>269</v>
      </c>
      <c r="AQ32" s="93"/>
      <c r="AR32" s="93"/>
      <c r="AS32" s="93"/>
      <c r="AT32" s="93"/>
    </row>
    <row r="33" spans="1:46" x14ac:dyDescent="0.3">
      <c r="A33" s="93"/>
      <c r="B33" s="93" t="s">
        <v>360</v>
      </c>
      <c r="C33" s="93"/>
      <c r="D33" s="93" t="s">
        <v>258</v>
      </c>
      <c r="E33" s="85" t="s">
        <v>270</v>
      </c>
      <c r="F33" s="93" t="str">
        <f>Table1[[#This Row],[CEDS Element Name]]</f>
        <v>Metric Type</v>
      </c>
      <c r="G33" s="93"/>
      <c r="H33" s="93"/>
      <c r="I33" s="93"/>
      <c r="J33" s="102"/>
      <c r="K33" s="102"/>
      <c r="L33" s="93" t="s">
        <v>170</v>
      </c>
      <c r="M33" s="85" t="s">
        <v>269</v>
      </c>
      <c r="N33" s="85" t="s">
        <v>269</v>
      </c>
      <c r="O33" s="85" t="s">
        <v>173</v>
      </c>
      <c r="P33" s="85" t="s">
        <v>269</v>
      </c>
      <c r="Q33" s="93"/>
      <c r="R33" s="93"/>
      <c r="S33" s="93" t="s">
        <v>260</v>
      </c>
      <c r="T33" s="97" t="s">
        <v>257</v>
      </c>
      <c r="U33" s="86" t="s">
        <v>271</v>
      </c>
      <c r="V33" s="86" t="s">
        <v>272</v>
      </c>
      <c r="W33" s="86" t="s">
        <v>273</v>
      </c>
      <c r="X33" s="86"/>
      <c r="Y33" s="86"/>
      <c r="Z33" s="86" t="s">
        <v>280</v>
      </c>
      <c r="AA33" s="86" t="s">
        <v>281</v>
      </c>
      <c r="AB33" s="87">
        <v>2141</v>
      </c>
      <c r="AC33" s="87">
        <v>76651</v>
      </c>
      <c r="AD33" s="86"/>
      <c r="AE33" s="93"/>
      <c r="AF33" s="93" t="s">
        <v>181</v>
      </c>
      <c r="AG33" s="93" t="s">
        <v>181</v>
      </c>
      <c r="AH33" s="93" t="s">
        <v>181</v>
      </c>
      <c r="AI33" s="93" t="s">
        <v>182</v>
      </c>
      <c r="AJ33" s="85" t="s">
        <v>269</v>
      </c>
      <c r="AK33" s="85" t="s">
        <v>269</v>
      </c>
      <c r="AL33" s="85" t="s">
        <v>269</v>
      </c>
      <c r="AM33" s="85" t="s">
        <v>173</v>
      </c>
      <c r="AN33" s="85" t="s">
        <v>269</v>
      </c>
      <c r="AO33" s="93" t="s">
        <v>183</v>
      </c>
      <c r="AP33" s="85" t="s">
        <v>269</v>
      </c>
      <c r="AQ33" s="93"/>
      <c r="AR33" s="93"/>
      <c r="AS33" s="93"/>
      <c r="AT33" s="93"/>
    </row>
    <row r="34" spans="1:46" x14ac:dyDescent="0.3">
      <c r="A34" s="93"/>
      <c r="B34" s="93" t="s">
        <v>360</v>
      </c>
      <c r="C34" s="93"/>
      <c r="D34" s="93" t="s">
        <v>258</v>
      </c>
      <c r="E34" s="85" t="s">
        <v>270</v>
      </c>
      <c r="F34" s="93" t="str">
        <f>Table1[[#This Row],[CEDS Element Name]]</f>
        <v>Metric Type</v>
      </c>
      <c r="G34" s="93"/>
      <c r="H34" s="93"/>
      <c r="I34" s="93"/>
      <c r="J34" s="102"/>
      <c r="K34" s="102"/>
      <c r="L34" s="93" t="s">
        <v>170</v>
      </c>
      <c r="M34" s="85" t="s">
        <v>269</v>
      </c>
      <c r="N34" s="85" t="s">
        <v>269</v>
      </c>
      <c r="O34" s="85" t="s">
        <v>173</v>
      </c>
      <c r="P34" s="85" t="s">
        <v>269</v>
      </c>
      <c r="Q34" s="93"/>
      <c r="R34" s="93"/>
      <c r="S34" s="93" t="s">
        <v>260</v>
      </c>
      <c r="T34" s="97" t="s">
        <v>257</v>
      </c>
      <c r="U34" s="86" t="s">
        <v>271</v>
      </c>
      <c r="V34" s="86" t="s">
        <v>272</v>
      </c>
      <c r="W34" s="86" t="s">
        <v>273</v>
      </c>
      <c r="X34" s="86"/>
      <c r="Y34" s="86"/>
      <c r="Z34" s="86" t="s">
        <v>282</v>
      </c>
      <c r="AA34" s="86" t="s">
        <v>282</v>
      </c>
      <c r="AB34" s="87">
        <v>2141</v>
      </c>
      <c r="AC34" s="87">
        <v>76651</v>
      </c>
      <c r="AD34" s="86"/>
      <c r="AE34" s="93"/>
      <c r="AF34" s="93" t="s">
        <v>181</v>
      </c>
      <c r="AG34" s="93" t="s">
        <v>181</v>
      </c>
      <c r="AH34" s="93" t="s">
        <v>181</v>
      </c>
      <c r="AI34" s="93" t="s">
        <v>182</v>
      </c>
      <c r="AJ34" s="85" t="s">
        <v>269</v>
      </c>
      <c r="AK34" s="85" t="s">
        <v>269</v>
      </c>
      <c r="AL34" s="85" t="s">
        <v>269</v>
      </c>
      <c r="AM34" s="85" t="s">
        <v>173</v>
      </c>
      <c r="AN34" s="85" t="s">
        <v>269</v>
      </c>
      <c r="AO34" s="93" t="s">
        <v>183</v>
      </c>
      <c r="AP34" s="85" t="s">
        <v>269</v>
      </c>
      <c r="AQ34" s="93"/>
      <c r="AR34" s="93"/>
      <c r="AS34" s="93"/>
      <c r="AT34" s="93"/>
    </row>
    <row r="41" spans="1:46" x14ac:dyDescent="0.3">
      <c r="Z41"/>
      <c r="AA41"/>
    </row>
    <row r="42" spans="1:46" x14ac:dyDescent="0.3">
      <c r="Z42"/>
      <c r="AA42"/>
    </row>
    <row r="43" spans="1:46" x14ac:dyDescent="0.3">
      <c r="Z43"/>
      <c r="AA43"/>
    </row>
    <row r="44" spans="1:46" x14ac:dyDescent="0.3">
      <c r="Z44"/>
      <c r="AA44"/>
    </row>
    <row r="45" spans="1:46" x14ac:dyDescent="0.3">
      <c r="Z45"/>
      <c r="AA45"/>
    </row>
    <row r="46" spans="1:46" x14ac:dyDescent="0.3">
      <c r="Z46"/>
      <c r="AA46"/>
    </row>
  </sheetData>
  <mergeCells count="10">
    <mergeCell ref="AQ2:AT2"/>
    <mergeCell ref="Q2:S2"/>
    <mergeCell ref="A2:L2"/>
    <mergeCell ref="AI2:AJ2"/>
    <mergeCell ref="AB2:AE2"/>
    <mergeCell ref="U2:AA2"/>
    <mergeCell ref="AF2:AH2"/>
    <mergeCell ref="AK2:AN2"/>
    <mergeCell ref="AO2:AP2"/>
    <mergeCell ref="M2:P2"/>
  </mergeCells>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E8"/>
  <sheetViews>
    <sheetView zoomScale="70" zoomScaleNormal="70" workbookViewId="0">
      <selection activeCell="A10" sqref="A10"/>
    </sheetView>
  </sheetViews>
  <sheetFormatPr defaultRowHeight="15" customHeight="1" x14ac:dyDescent="0.3"/>
  <cols>
    <col min="1" max="1" width="44.6640625" bestFit="1" customWidth="1"/>
    <col min="2" max="2" width="54.5546875" bestFit="1" customWidth="1"/>
    <col min="3" max="3" width="18.5546875" customWidth="1"/>
    <col min="4" max="4" width="43.6640625" bestFit="1" customWidth="1"/>
    <col min="5" max="5" width="45.88671875" customWidth="1"/>
  </cols>
  <sheetData>
    <row r="1" spans="1:5" ht="18" x14ac:dyDescent="0.35">
      <c r="A1" s="118" t="s">
        <v>283</v>
      </c>
      <c r="B1" s="118"/>
      <c r="C1" s="118"/>
      <c r="D1" s="118"/>
    </row>
    <row r="2" spans="1:5" ht="18" x14ac:dyDescent="0.35">
      <c r="A2" s="118" t="s">
        <v>284</v>
      </c>
      <c r="B2" s="118"/>
      <c r="C2" s="118"/>
      <c r="D2" s="62"/>
    </row>
    <row r="3" spans="1:5" ht="14.4" x14ac:dyDescent="0.3">
      <c r="A3" s="63"/>
      <c r="B3" s="63"/>
      <c r="C3" s="63"/>
      <c r="D3" s="63"/>
    </row>
    <row r="4" spans="1:5" ht="14.4" x14ac:dyDescent="0.3">
      <c r="A4" s="106" t="s">
        <v>285</v>
      </c>
      <c r="B4" s="106" t="s">
        <v>286</v>
      </c>
      <c r="C4" s="106" t="s">
        <v>88</v>
      </c>
      <c r="D4" s="106" t="s">
        <v>287</v>
      </c>
      <c r="E4" s="107" t="s">
        <v>288</v>
      </c>
    </row>
    <row r="5" spans="1:5" ht="28.8" x14ac:dyDescent="0.3">
      <c r="A5" s="108" t="s">
        <v>357</v>
      </c>
      <c r="B5" s="108"/>
      <c r="C5" s="108"/>
      <c r="D5" s="98" t="s">
        <v>361</v>
      </c>
      <c r="E5" s="108"/>
    </row>
    <row r="6" spans="1:5" ht="28.8" x14ac:dyDescent="0.3">
      <c r="A6" s="108" t="s">
        <v>358</v>
      </c>
      <c r="B6" s="108"/>
      <c r="C6" s="108"/>
      <c r="D6" s="98" t="s">
        <v>362</v>
      </c>
      <c r="E6" s="108"/>
    </row>
    <row r="7" spans="1:5" ht="28.8" customHeight="1" x14ac:dyDescent="0.3">
      <c r="A7" s="108" t="s">
        <v>359</v>
      </c>
      <c r="B7" s="108"/>
      <c r="C7" s="108"/>
      <c r="D7" s="98" t="s">
        <v>363</v>
      </c>
      <c r="E7" s="108"/>
    </row>
    <row r="8" spans="1:5" ht="93" customHeight="1" x14ac:dyDescent="0.3">
      <c r="A8" s="108" t="s">
        <v>272</v>
      </c>
      <c r="B8" s="108" t="s">
        <v>365</v>
      </c>
      <c r="C8" s="109"/>
      <c r="D8" s="98" t="s">
        <v>366</v>
      </c>
      <c r="E8" s="98" t="s">
        <v>364</v>
      </c>
    </row>
  </sheetData>
  <mergeCells count="2">
    <mergeCell ref="A1:D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27</v>
      </c>
      <c r="E2" s="51" t="s">
        <v>28</v>
      </c>
      <c r="F2" s="51" t="s">
        <v>29</v>
      </c>
      <c r="G2" s="52" t="s">
        <v>30</v>
      </c>
      <c r="H2" s="52" t="s">
        <v>31</v>
      </c>
    </row>
    <row r="3" spans="1:8" customFormat="1" ht="18" x14ac:dyDescent="0.35">
      <c r="B3" s="14"/>
      <c r="C3" s="1"/>
      <c r="D3" s="33" t="s">
        <v>32</v>
      </c>
      <c r="E3" s="33" t="s">
        <v>33</v>
      </c>
      <c r="F3" s="34"/>
      <c r="G3" s="33"/>
      <c r="H3" s="33"/>
    </row>
    <row r="4" spans="1:8" ht="60" customHeight="1" x14ac:dyDescent="0.35">
      <c r="D4" s="35"/>
      <c r="E4" s="43" t="s">
        <v>34</v>
      </c>
      <c r="F4" s="36" t="s">
        <v>35</v>
      </c>
      <c r="G4" s="37" t="s">
        <v>36</v>
      </c>
      <c r="H4" s="38" t="s">
        <v>37</v>
      </c>
    </row>
    <row r="5" spans="1:8" ht="60" customHeight="1" x14ac:dyDescent="0.3">
      <c r="D5" s="39"/>
      <c r="E5" s="43" t="s">
        <v>34</v>
      </c>
      <c r="F5" s="36" t="s">
        <v>38</v>
      </c>
      <c r="G5" s="37" t="s">
        <v>39</v>
      </c>
      <c r="H5" s="38" t="s">
        <v>37</v>
      </c>
    </row>
    <row r="6" spans="1:8" customFormat="1" ht="18" x14ac:dyDescent="0.35">
      <c r="B6" s="14"/>
      <c r="C6" s="1"/>
      <c r="D6" s="33" t="s">
        <v>40</v>
      </c>
      <c r="E6" s="33" t="s">
        <v>41</v>
      </c>
      <c r="F6" s="34"/>
      <c r="G6" s="33"/>
      <c r="H6" s="33"/>
    </row>
    <row r="7" spans="1:8" s="3" customFormat="1" ht="60" customHeight="1" x14ac:dyDescent="0.3">
      <c r="A7"/>
      <c r="D7" s="40"/>
      <c r="E7" s="41" t="s">
        <v>42</v>
      </c>
      <c r="F7" s="36" t="s">
        <v>43</v>
      </c>
      <c r="G7" s="41" t="s">
        <v>44</v>
      </c>
      <c r="H7" s="38" t="s">
        <v>45</v>
      </c>
    </row>
    <row r="8" spans="1:8" s="3" customFormat="1" ht="60" customHeight="1" x14ac:dyDescent="0.3">
      <c r="A8"/>
      <c r="D8" s="40"/>
      <c r="E8" s="41" t="s">
        <v>42</v>
      </c>
      <c r="F8" s="36" t="s">
        <v>46</v>
      </c>
      <c r="G8" s="41" t="s">
        <v>47</v>
      </c>
      <c r="H8" s="38" t="s">
        <v>48</v>
      </c>
    </row>
    <row r="9" spans="1:8" s="3" customFormat="1" ht="60" customHeight="1" x14ac:dyDescent="0.3">
      <c r="A9"/>
      <c r="D9" s="40"/>
      <c r="E9" s="41" t="s">
        <v>42</v>
      </c>
      <c r="F9" s="36" t="s">
        <v>49</v>
      </c>
      <c r="G9" s="41" t="s">
        <v>50</v>
      </c>
      <c r="H9" s="38" t="s">
        <v>51</v>
      </c>
    </row>
    <row r="10" spans="1:8" s="3" customFormat="1" ht="60" customHeight="1" x14ac:dyDescent="0.3">
      <c r="A10"/>
      <c r="D10" s="40"/>
      <c r="E10" s="41" t="s">
        <v>42</v>
      </c>
      <c r="F10" s="36" t="s">
        <v>52</v>
      </c>
      <c r="G10" s="41" t="s">
        <v>53</v>
      </c>
      <c r="H10" s="38" t="s">
        <v>54</v>
      </c>
    </row>
    <row r="11" spans="1:8" s="3" customFormat="1" ht="60" customHeight="1" x14ac:dyDescent="0.3">
      <c r="A11"/>
      <c r="D11" s="40"/>
      <c r="E11" s="41" t="s">
        <v>42</v>
      </c>
      <c r="F11" s="36" t="s">
        <v>55</v>
      </c>
      <c r="G11" s="41" t="s">
        <v>56</v>
      </c>
      <c r="H11" s="38" t="s">
        <v>57</v>
      </c>
    </row>
    <row r="12" spans="1:8" s="3" customFormat="1" ht="60" customHeight="1" x14ac:dyDescent="0.3">
      <c r="A12"/>
      <c r="D12" s="40"/>
      <c r="E12" s="41" t="s">
        <v>42</v>
      </c>
      <c r="F12" s="36" t="s">
        <v>58</v>
      </c>
      <c r="G12" s="41" t="s">
        <v>59</v>
      </c>
      <c r="H12" s="38" t="s">
        <v>29</v>
      </c>
    </row>
    <row r="13" spans="1:8" s="3" customFormat="1" ht="60" customHeight="1" x14ac:dyDescent="0.3">
      <c r="A13"/>
      <c r="D13" s="40"/>
      <c r="E13" s="41" t="s">
        <v>42</v>
      </c>
      <c r="F13" s="36" t="s">
        <v>60</v>
      </c>
      <c r="G13" s="41" t="s">
        <v>61</v>
      </c>
      <c r="H13" s="38" t="s">
        <v>62</v>
      </c>
    </row>
    <row r="14" spans="1:8" s="3" customFormat="1" ht="60" customHeight="1" x14ac:dyDescent="0.3">
      <c r="A14"/>
      <c r="D14" s="40"/>
      <c r="E14" s="41" t="s">
        <v>42</v>
      </c>
      <c r="F14" s="36" t="s">
        <v>63</v>
      </c>
      <c r="G14" s="41" t="s">
        <v>64</v>
      </c>
      <c r="H14" s="38" t="s">
        <v>65</v>
      </c>
    </row>
    <row r="15" spans="1:8" s="3" customFormat="1" ht="60" customHeight="1" x14ac:dyDescent="0.3">
      <c r="A15"/>
      <c r="D15" s="40"/>
      <c r="E15" s="41" t="s">
        <v>42</v>
      </c>
      <c r="F15" s="36" t="s">
        <v>66</v>
      </c>
      <c r="G15" s="41" t="s">
        <v>67</v>
      </c>
      <c r="H15" s="38" t="s">
        <v>68</v>
      </c>
    </row>
    <row r="16" spans="1:8" s="3" customFormat="1" ht="60" customHeight="1" x14ac:dyDescent="0.3">
      <c r="A16"/>
      <c r="D16" s="40"/>
      <c r="E16" s="41" t="s">
        <v>42</v>
      </c>
      <c r="F16" s="36" t="s">
        <v>69</v>
      </c>
      <c r="G16" s="41" t="s">
        <v>70</v>
      </c>
      <c r="H16" s="38" t="s">
        <v>71</v>
      </c>
    </row>
    <row r="17" spans="1:8" s="3" customFormat="1" ht="60" customHeight="1" x14ac:dyDescent="0.3">
      <c r="A17"/>
      <c r="D17" s="40"/>
      <c r="E17" s="41" t="s">
        <v>42</v>
      </c>
      <c r="F17" s="36" t="s">
        <v>72</v>
      </c>
      <c r="G17" s="41" t="s">
        <v>73</v>
      </c>
      <c r="H17" s="38" t="s">
        <v>74</v>
      </c>
    </row>
    <row r="18" spans="1:8" s="3" customFormat="1" ht="60" customHeight="1" x14ac:dyDescent="0.3">
      <c r="A18"/>
      <c r="D18" s="40"/>
      <c r="E18" s="41" t="s">
        <v>42</v>
      </c>
      <c r="F18" s="36" t="s">
        <v>75</v>
      </c>
      <c r="G18" s="41" t="s">
        <v>76</v>
      </c>
      <c r="H18" s="38" t="s">
        <v>77</v>
      </c>
    </row>
    <row r="19" spans="1:8" s="3" customFormat="1" ht="60" customHeight="1" x14ac:dyDescent="0.3">
      <c r="A19"/>
      <c r="D19" s="40"/>
      <c r="E19" s="41" t="s">
        <v>42</v>
      </c>
      <c r="F19" s="36" t="s">
        <v>78</v>
      </c>
      <c r="G19" s="41" t="s">
        <v>79</v>
      </c>
      <c r="H19" s="38" t="s">
        <v>80</v>
      </c>
    </row>
    <row r="20" spans="1:8" customFormat="1" ht="18" x14ac:dyDescent="0.35">
      <c r="B20" s="14"/>
      <c r="C20" s="1"/>
      <c r="D20" s="33" t="s">
        <v>81</v>
      </c>
      <c r="E20" s="59" t="s">
        <v>41</v>
      </c>
      <c r="F20" s="60"/>
      <c r="G20" s="59"/>
      <c r="H20" s="59"/>
    </row>
    <row r="21" spans="1:8" s="3" customFormat="1" ht="60" customHeight="1" x14ac:dyDescent="0.3">
      <c r="A21"/>
      <c r="D21" s="42"/>
      <c r="E21" s="41" t="s">
        <v>42</v>
      </c>
      <c r="F21" s="36" t="s">
        <v>82</v>
      </c>
      <c r="G21" s="41" t="s">
        <v>83</v>
      </c>
      <c r="H21" s="38"/>
    </row>
    <row r="22" spans="1:8" s="3" customFormat="1" ht="60" customHeight="1" x14ac:dyDescent="0.3">
      <c r="A22"/>
      <c r="D22" s="42"/>
      <c r="E22" s="41" t="s">
        <v>42</v>
      </c>
      <c r="F22" s="36" t="s">
        <v>84</v>
      </c>
      <c r="G22" s="41" t="s">
        <v>85</v>
      </c>
      <c r="H22" s="38"/>
    </row>
    <row r="23" spans="1:8" s="3" customFormat="1" ht="60" customHeight="1" x14ac:dyDescent="0.3">
      <c r="A23"/>
      <c r="D23" s="42"/>
      <c r="E23" s="41" t="s">
        <v>42</v>
      </c>
      <c r="F23" s="36" t="s">
        <v>86</v>
      </c>
      <c r="G23" s="41" t="s">
        <v>87</v>
      </c>
      <c r="H23" s="38" t="s">
        <v>88</v>
      </c>
    </row>
    <row r="24" spans="1:8" customFormat="1" ht="18" x14ac:dyDescent="0.35">
      <c r="B24" s="14"/>
      <c r="C24" s="1"/>
      <c r="D24" s="33" t="s">
        <v>89</v>
      </c>
      <c r="E24" s="59" t="s">
        <v>33</v>
      </c>
      <c r="F24" s="60"/>
      <c r="G24" s="59"/>
      <c r="H24" s="59"/>
    </row>
    <row r="25" spans="1:8" s="3" customFormat="1" ht="54" x14ac:dyDescent="0.3">
      <c r="A25"/>
      <c r="D25" s="43"/>
      <c r="E25" s="43" t="s">
        <v>34</v>
      </c>
      <c r="F25" s="36" t="s">
        <v>90</v>
      </c>
      <c r="G25" s="41" t="s">
        <v>91</v>
      </c>
      <c r="H25" s="38"/>
    </row>
    <row r="26" spans="1:8" customFormat="1" ht="18" x14ac:dyDescent="0.35">
      <c r="B26" s="14"/>
      <c r="C26" s="1"/>
      <c r="D26" s="33" t="s">
        <v>92</v>
      </c>
      <c r="E26" s="59" t="s">
        <v>93</v>
      </c>
      <c r="F26" s="60"/>
      <c r="G26" s="59"/>
      <c r="H26" s="59"/>
    </row>
    <row r="27" spans="1:8" s="3" customFormat="1" ht="65.099999999999994" customHeight="1" x14ac:dyDescent="0.3">
      <c r="A27"/>
      <c r="D27" s="44"/>
      <c r="E27" s="43" t="s">
        <v>34</v>
      </c>
      <c r="F27" s="36" t="s">
        <v>94</v>
      </c>
      <c r="G27" s="41" t="s">
        <v>95</v>
      </c>
      <c r="H27" s="38"/>
    </row>
    <row r="28" spans="1:8" s="3" customFormat="1" ht="65.099999999999994" customHeight="1" x14ac:dyDescent="0.3">
      <c r="A28"/>
      <c r="D28" s="44"/>
      <c r="E28" s="43" t="s">
        <v>34</v>
      </c>
      <c r="F28" s="36" t="s">
        <v>96</v>
      </c>
      <c r="G28" s="41" t="s">
        <v>97</v>
      </c>
      <c r="H28" s="38"/>
    </row>
    <row r="29" spans="1:8" s="3" customFormat="1" ht="65.099999999999994" customHeight="1" x14ac:dyDescent="0.3">
      <c r="A29"/>
      <c r="D29" s="44"/>
      <c r="E29" s="43" t="s">
        <v>34</v>
      </c>
      <c r="F29" s="36" t="s">
        <v>98</v>
      </c>
      <c r="G29" s="41" t="s">
        <v>99</v>
      </c>
      <c r="H29" s="38"/>
    </row>
    <row r="30" spans="1:8" s="3" customFormat="1" ht="65.099999999999994" customHeight="1" x14ac:dyDescent="0.3">
      <c r="A30"/>
      <c r="D30" s="44"/>
      <c r="E30" s="43" t="s">
        <v>34</v>
      </c>
      <c r="F30" s="36" t="s">
        <v>100</v>
      </c>
      <c r="G30" s="41" t="s">
        <v>101</v>
      </c>
      <c r="H30" s="38"/>
    </row>
    <row r="31" spans="1:8" s="3" customFormat="1" ht="65.099999999999994" customHeight="1" x14ac:dyDescent="0.3">
      <c r="A31"/>
      <c r="D31" s="44"/>
      <c r="E31" s="43" t="s">
        <v>34</v>
      </c>
      <c r="F31" s="36" t="s">
        <v>102</v>
      </c>
      <c r="G31" s="41" t="s">
        <v>103</v>
      </c>
      <c r="H31" s="38"/>
    </row>
    <row r="32" spans="1:8" s="3" customFormat="1" ht="90" x14ac:dyDescent="0.3">
      <c r="A32"/>
      <c r="D32" s="44"/>
      <c r="E32" s="43" t="s">
        <v>34</v>
      </c>
      <c r="F32" s="36" t="s">
        <v>104</v>
      </c>
      <c r="G32" s="41" t="s">
        <v>105</v>
      </c>
      <c r="H32" s="38"/>
    </row>
    <row r="33" spans="1:8" s="3" customFormat="1" ht="65.099999999999994" customHeight="1" x14ac:dyDescent="0.3">
      <c r="A33"/>
      <c r="D33" s="44"/>
      <c r="E33" s="43" t="s">
        <v>34</v>
      </c>
      <c r="F33" s="36" t="s">
        <v>106</v>
      </c>
      <c r="G33" s="41" t="s">
        <v>107</v>
      </c>
      <c r="H33" s="38"/>
    </row>
    <row r="34" spans="1:8" s="3" customFormat="1" ht="84" customHeight="1" x14ac:dyDescent="0.3">
      <c r="A34"/>
      <c r="D34" s="44"/>
      <c r="E34" s="43" t="s">
        <v>34</v>
      </c>
      <c r="F34" s="36" t="s">
        <v>108</v>
      </c>
      <c r="G34" s="41" t="s">
        <v>109</v>
      </c>
      <c r="H34" s="38"/>
    </row>
    <row r="35" spans="1:8" customFormat="1" ht="18" x14ac:dyDescent="0.35">
      <c r="B35" s="14"/>
      <c r="C35" s="1"/>
      <c r="D35" s="33" t="s">
        <v>110</v>
      </c>
      <c r="E35" s="33"/>
      <c r="F35" s="34"/>
      <c r="G35" s="33"/>
      <c r="H35" s="33"/>
    </row>
    <row r="36" spans="1:8" s="3" customFormat="1" ht="72" x14ac:dyDescent="0.3">
      <c r="A36"/>
      <c r="D36" s="40"/>
      <c r="E36" s="41" t="s">
        <v>34</v>
      </c>
      <c r="F36" s="36" t="s">
        <v>111</v>
      </c>
      <c r="G36" s="41" t="s">
        <v>112</v>
      </c>
      <c r="H36" s="38"/>
    </row>
    <row r="37" spans="1:8" s="3" customFormat="1" ht="126" x14ac:dyDescent="0.3">
      <c r="A37"/>
      <c r="D37" s="40"/>
      <c r="E37" s="41" t="s">
        <v>42</v>
      </c>
      <c r="F37" s="36" t="s">
        <v>113</v>
      </c>
      <c r="G37" s="41" t="s">
        <v>114</v>
      </c>
      <c r="H37" s="38"/>
    </row>
    <row r="38" spans="1:8" s="3" customFormat="1" ht="18" x14ac:dyDescent="0.3">
      <c r="A38"/>
      <c r="D38" s="40"/>
      <c r="E38" s="41"/>
      <c r="F38" s="36"/>
      <c r="G38" s="61" t="s">
        <v>115</v>
      </c>
      <c r="H38" s="38"/>
    </row>
    <row r="39" spans="1:8" s="3" customFormat="1" ht="180" x14ac:dyDescent="0.3">
      <c r="A39"/>
      <c r="D39" s="40"/>
      <c r="E39" s="41" t="s">
        <v>42</v>
      </c>
      <c r="F39" s="36" t="s">
        <v>116</v>
      </c>
      <c r="G39" s="41" t="s">
        <v>117</v>
      </c>
      <c r="H39" s="38"/>
    </row>
    <row r="40" spans="1:8" s="3" customFormat="1" ht="18" x14ac:dyDescent="0.3">
      <c r="A40"/>
      <c r="D40" s="40"/>
      <c r="E40" s="41"/>
      <c r="F40" s="36"/>
      <c r="G40" s="61" t="s">
        <v>115</v>
      </c>
      <c r="H40" s="38"/>
    </row>
    <row r="41" spans="1:8" customFormat="1" ht="18" x14ac:dyDescent="0.35">
      <c r="B41" s="14"/>
      <c r="C41" s="1"/>
      <c r="D41" s="33" t="s">
        <v>118</v>
      </c>
      <c r="E41" s="33"/>
      <c r="F41" s="34"/>
      <c r="G41" s="33"/>
      <c r="H41" s="33"/>
    </row>
    <row r="42" spans="1:8" s="3" customFormat="1" ht="36" x14ac:dyDescent="0.3">
      <c r="A42"/>
      <c r="D42" s="40"/>
      <c r="E42" s="41" t="s">
        <v>34</v>
      </c>
      <c r="F42" s="36" t="s">
        <v>119</v>
      </c>
      <c r="G42" s="41" t="s">
        <v>120</v>
      </c>
      <c r="H42" s="38"/>
    </row>
    <row r="43" spans="1:8" s="3" customFormat="1" ht="18" x14ac:dyDescent="0.3">
      <c r="A43"/>
      <c r="D43" s="40"/>
      <c r="E43" s="41"/>
      <c r="F43" s="36" t="s">
        <v>121</v>
      </c>
      <c r="G43" s="41" t="s">
        <v>47</v>
      </c>
      <c r="H43" s="38"/>
    </row>
    <row r="44" spans="1:8" s="3" customFormat="1" ht="18" x14ac:dyDescent="0.3">
      <c r="A44"/>
      <c r="D44" s="43"/>
      <c r="E44" s="41" t="s">
        <v>34</v>
      </c>
      <c r="F44" s="36" t="s">
        <v>122</v>
      </c>
      <c r="G44" s="41" t="s">
        <v>123</v>
      </c>
      <c r="H44" s="38"/>
    </row>
    <row r="45" spans="1:8" customFormat="1" ht="18" x14ac:dyDescent="0.35">
      <c r="B45" s="14"/>
      <c r="C45" s="1"/>
      <c r="D45" s="33" t="s">
        <v>124</v>
      </c>
      <c r="E45" s="59"/>
      <c r="F45" s="60"/>
      <c r="G45" s="59"/>
      <c r="H45" s="33"/>
    </row>
    <row r="46" spans="1:8" s="3" customFormat="1" ht="36" x14ac:dyDescent="0.3">
      <c r="A46"/>
      <c r="D46" s="40"/>
      <c r="E46" s="41" t="s">
        <v>34</v>
      </c>
      <c r="F46" s="36" t="s">
        <v>125</v>
      </c>
      <c r="G46" s="41" t="s">
        <v>126</v>
      </c>
      <c r="H46" s="38"/>
    </row>
    <row r="47" spans="1:8" s="3" customFormat="1" ht="36" x14ac:dyDescent="0.3">
      <c r="A47"/>
      <c r="D47" s="43"/>
      <c r="E47" s="41" t="s">
        <v>34</v>
      </c>
      <c r="F47" s="36" t="s">
        <v>127</v>
      </c>
      <c r="G47" s="41" t="s">
        <v>128</v>
      </c>
      <c r="H47" s="38"/>
    </row>
    <row r="48" spans="1:8" customFormat="1" ht="18" x14ac:dyDescent="0.35">
      <c r="B48" s="14"/>
      <c r="C48" s="1"/>
      <c r="D48" s="33" t="s">
        <v>129</v>
      </c>
      <c r="E48" s="59"/>
      <c r="F48" s="60"/>
      <c r="G48" s="59"/>
      <c r="H48" s="33"/>
    </row>
    <row r="49" spans="1:8" s="3" customFormat="1" ht="54" x14ac:dyDescent="0.3">
      <c r="A49"/>
      <c r="D49" s="40"/>
      <c r="E49" s="41" t="s">
        <v>34</v>
      </c>
      <c r="F49" s="36" t="s">
        <v>130</v>
      </c>
      <c r="G49" s="41" t="s">
        <v>131</v>
      </c>
      <c r="H49" s="38"/>
    </row>
    <row r="50" spans="1:8" s="3" customFormat="1" ht="36" x14ac:dyDescent="0.3">
      <c r="A50"/>
      <c r="D50" s="40"/>
      <c r="E50" s="41" t="s">
        <v>34</v>
      </c>
      <c r="F50" s="36" t="s">
        <v>132</v>
      </c>
      <c r="G50" s="41" t="s">
        <v>133</v>
      </c>
      <c r="H50" s="38"/>
    </row>
    <row r="51" spans="1:8" s="3" customFormat="1" ht="54" x14ac:dyDescent="0.3">
      <c r="A51"/>
      <c r="D51" s="40"/>
      <c r="E51" s="41" t="s">
        <v>34</v>
      </c>
      <c r="F51" s="36" t="s">
        <v>134</v>
      </c>
      <c r="G51" s="41" t="s">
        <v>135</v>
      </c>
      <c r="H51" s="38"/>
    </row>
    <row r="52" spans="1:8" s="3" customFormat="1" ht="36" x14ac:dyDescent="0.3">
      <c r="A52"/>
      <c r="D52" s="40"/>
      <c r="E52" s="41" t="s">
        <v>34</v>
      </c>
      <c r="F52" s="36" t="s">
        <v>136</v>
      </c>
      <c r="G52" s="41" t="s">
        <v>137</v>
      </c>
      <c r="H52" s="38"/>
    </row>
    <row r="53" spans="1:8" s="3" customFormat="1" ht="36" x14ac:dyDescent="0.3">
      <c r="A53"/>
      <c r="D53" s="40"/>
      <c r="E53" s="41" t="s">
        <v>34</v>
      </c>
      <c r="F53" s="36" t="s">
        <v>138</v>
      </c>
      <c r="G53" s="41" t="s">
        <v>139</v>
      </c>
      <c r="H53" s="38"/>
    </row>
    <row r="54" spans="1:8" s="3" customFormat="1" ht="36" x14ac:dyDescent="0.3">
      <c r="A54"/>
      <c r="D54" s="43"/>
      <c r="E54" s="41" t="s">
        <v>34</v>
      </c>
      <c r="F54" s="36" t="s">
        <v>140</v>
      </c>
      <c r="G54" s="41" t="s">
        <v>141</v>
      </c>
      <c r="H54" s="38"/>
    </row>
    <row r="55" spans="1:8" customFormat="1" ht="18" x14ac:dyDescent="0.35">
      <c r="B55" s="14"/>
      <c r="C55" s="1"/>
      <c r="D55" s="33" t="s">
        <v>142</v>
      </c>
      <c r="E55" s="59"/>
      <c r="F55" s="60"/>
      <c r="G55" s="59"/>
      <c r="H55" s="33"/>
    </row>
    <row r="56" spans="1:8" s="3" customFormat="1" ht="36" x14ac:dyDescent="0.3">
      <c r="A56"/>
      <c r="D56" s="45"/>
      <c r="E56" s="41" t="s">
        <v>42</v>
      </c>
      <c r="F56" s="36" t="s">
        <v>143</v>
      </c>
      <c r="G56" s="41" t="s">
        <v>144</v>
      </c>
      <c r="H56" s="38"/>
    </row>
    <row r="57" spans="1:8" s="3" customFormat="1" ht="72" x14ac:dyDescent="0.3">
      <c r="A57"/>
      <c r="D57" s="45"/>
      <c r="E57" s="41" t="s">
        <v>42</v>
      </c>
      <c r="F57" s="36" t="s">
        <v>145</v>
      </c>
      <c r="G57" s="41" t="s">
        <v>146</v>
      </c>
      <c r="H57" s="38"/>
    </row>
    <row r="58" spans="1:8" s="3" customFormat="1" ht="54" x14ac:dyDescent="0.3">
      <c r="A58"/>
      <c r="D58" s="45"/>
      <c r="E58" s="41" t="s">
        <v>42</v>
      </c>
      <c r="F58" s="36" t="s">
        <v>147</v>
      </c>
      <c r="G58" s="41" t="s">
        <v>148</v>
      </c>
      <c r="H58" s="38"/>
    </row>
    <row r="59" spans="1:8" s="3" customFormat="1" ht="18" x14ac:dyDescent="0.3">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289</v>
      </c>
    </row>
    <row r="2" spans="1:7" s="49" customFormat="1" ht="35.1" customHeight="1" x14ac:dyDescent="0.3">
      <c r="D2" s="58" t="s">
        <v>290</v>
      </c>
      <c r="E2" s="58" t="s">
        <v>291</v>
      </c>
      <c r="F2" s="58" t="s">
        <v>292</v>
      </c>
      <c r="G2" s="58" t="s">
        <v>293</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294</v>
      </c>
    </row>
    <row r="2" spans="1:7" ht="35.1" customHeight="1" x14ac:dyDescent="0.3">
      <c r="D2" s="58" t="s">
        <v>290</v>
      </c>
      <c r="E2" s="58" t="s">
        <v>291</v>
      </c>
      <c r="F2" s="58" t="s">
        <v>295</v>
      </c>
      <c r="G2" s="58" t="s">
        <v>293</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purl.org/dc/dcmitype/"/>
    <ds:schemaRef ds:uri="http://purl.org/dc/terms/"/>
    <ds:schemaRef ds:uri="http://schemas.microsoft.com/office/infopath/2007/PartnerControls"/>
    <ds:schemaRef ds:uri="8dc5747d-3021-4397-919f-ae4738a45f50"/>
    <ds:schemaRef ds:uri="http://schemas.microsoft.com/office/2006/documentManagement/types"/>
    <ds:schemaRef ds:uri="0312c589-d2f5-4d6e-9fcd-d38b6d90001e"/>
    <ds:schemaRef ds:uri="http://schemas.microsoft.com/office/2006/metadata/propertie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B219BBA2-7ABF-42AE-B824-FF4C3DAC02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ETL Detail</vt:lpstr>
      <vt:lpstr>Missing Data</vt:lpstr>
      <vt:lpstr>Column Descriptions</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2026-01-15T22:04:42Z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