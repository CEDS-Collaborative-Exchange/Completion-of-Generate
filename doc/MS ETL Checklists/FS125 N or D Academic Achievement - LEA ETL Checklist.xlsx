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56" documentId="13_ncr:1_{85B5C7C8-8C45-409F-A4A6-3E60711870DE}" xr6:coauthVersionLast="47" xr6:coauthVersionMax="47" xr10:uidLastSave="{6BFC78C6-6434-496F-AE77-360E59A421B7}"/>
  <bookViews>
    <workbookView xWindow="-108" yWindow="-108" windowWidth="23256" windowHeight="13896" tabRatio="680" firstSheet="4" activeTab="4" xr2:uid="{00000000-000D-0000-FFFF-FFFF00000000}"/>
  </bookViews>
  <sheets>
    <sheet name="Sign Off" sheetId="19" r:id="rId1"/>
    <sheet name="Introduction" sheetId="12" r:id="rId2"/>
    <sheet name="Instructions" sheetId="16" r:id="rId3"/>
    <sheet name="Column Descriptions" sheetId="17" r:id="rId4"/>
    <sheet name="ETL Detail" sheetId="1" r:id="rId5"/>
    <sheet name="Missing Data" sheetId="20"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0" l="1"/>
  <c r="D7" i="20"/>
  <c r="D8" i="20"/>
  <c r="D9" i="20"/>
  <c r="D10" i="20"/>
  <c r="D11" i="20"/>
  <c r="D12" i="20"/>
  <c r="D13" i="20"/>
  <c r="D5" i="20"/>
  <c r="E23" i="1"/>
  <c r="E22" i="1"/>
  <c r="E21" i="1"/>
  <c r="E20" i="1"/>
  <c r="E19" i="1"/>
  <c r="E18" i="1"/>
  <c r="E17" i="1"/>
  <c r="E16" i="1"/>
  <c r="E15" i="1"/>
  <c r="E14" i="1"/>
  <c r="E13" i="1"/>
</calcChain>
</file>

<file path=xl/sharedStrings.xml><?xml version="1.0" encoding="utf-8"?>
<sst xmlns="http://schemas.openxmlformats.org/spreadsheetml/2006/main" count="910" uniqueCount="316">
  <si>
    <t>Name</t>
  </si>
  <si>
    <t>Signature</t>
  </si>
  <si>
    <t>Date of Delivery</t>
  </si>
  <si>
    <t>Introduction</t>
  </si>
  <si>
    <t>Assessment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</si>
  <si>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</si>
  <si>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</si>
  <si>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</si>
  <si>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</si>
  <si>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</si>
  <si>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</si>
  <si>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</si>
  <si>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Assessment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</si>
  <si>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</si>
  <si>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</si>
  <si>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</si>
  <si>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</si>
  <si>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</si>
  <si>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Assessment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</si>
  <si>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</si>
  <si>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</si>
  <si>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</si>
  <si>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
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</si>
  <si>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</si>
  <si>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
Define the Transformation Rules
</t>
    </r>
    <r>
      <rPr>
        <sz val="14"/>
        <color rgb="FF404040"/>
        <rFont val="Calibri"/>
        <family val="2"/>
        <scheme val="minor"/>
      </rPr>
      <t xml:space="preserve">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rgb="FF404040"/>
        <rFont val="Calibri"/>
        <family val="2"/>
        <scheme val="minor"/>
      </rPr>
      <t xml:space="preserve">Notes
</t>
    </r>
    <r>
      <rPr>
        <sz val="14"/>
        <color rgb="FF404040"/>
        <rFont val="Calibri"/>
        <family val="2"/>
        <scheme val="minor"/>
      </rPr>
      <t>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</si>
  <si>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</si>
  <si>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</si>
  <si>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</si>
  <si>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</si>
  <si>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Asseessment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</si>
  <si>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</si>
  <si>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</si>
  <si>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</si>
  <si>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</si>
  <si>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</si>
  <si>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</si>
  <si>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</si>
  <si>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</si>
  <si>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</si>
  <si>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</si>
  <si>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</si>
  <si>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</si>
  <si>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</si>
  <si>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</si>
  <si>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</si>
  <si>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</si>
  <si>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</si>
  <si>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</si>
  <si>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</si>
  <si>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</si>
  <si>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</si>
  <si>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</si>
  <si>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</si>
  <si>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</si>
  <si>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</si>
  <si>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</si>
  <si>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</si>
  <si>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</si>
  <si>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</si>
  <si>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</si>
  <si>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</si>
  <si>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</si>
  <si>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</si>
  <si>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</si>
  <si>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</si>
  <si>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</si>
  <si>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</si>
  <si>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</si>
  <si>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</si>
  <si>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</si>
  <si>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</si>
  <si>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</si>
  <si>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</si>
  <si>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</si>
  <si>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</si>
  <si>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</si>
  <si>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</si>
  <si>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</si>
  <si>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</si>
  <si>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</si>
  <si>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</si>
  <si>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</si>
  <si>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</si>
  <si>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</si>
  <si>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</si>
  <si>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</si>
  <si>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</si>
  <si>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</si>
  <si>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</si>
  <si>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</si>
  <si>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</si>
  <si>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</si>
  <si>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</si>
  <si>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</si>
  <si>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</si>
  <si>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</si>
  <si>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</si>
  <si>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</si>
  <si>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</si>
  <si>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</si>
  <si>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</si>
  <si>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</si>
  <si>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</si>
  <si>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</si>
  <si>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</si>
  <si>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</si>
  <si>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</si>
  <si>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</si>
  <si>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</si>
  <si>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</si>
  <si>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</si>
  <si>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</si>
  <si>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</si>
  <si>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</si>
  <si>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</si>
  <si>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</si>
  <si>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</si>
  <si>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rPr>
        <sz val="14"/>
        <color rgb="FF404040"/>
        <rFont val="Calibri"/>
        <family val="2"/>
        <scheme val="minor"/>
      </rP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
    </r>
    <r>
      <rPr>
        <sz val="14"/>
        <color rgb="FF00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</si>
  <si>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</si>
  <si>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</si>
  <si>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rPr>
        <sz val="14"/>
        <color rgb="FF404040"/>
        <rFont val="Calibri"/>
        <family val="2"/>
        <scheme val="minor"/>
      </rP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000000"/>
        <rFont val="Calibri"/>
        <family val="2"/>
        <scheme val="minor"/>
      </rPr>
      <t>This information supports development of Transformation  Rules in column Q.</t>
    </r>
    <r>
      <rPr>
        <sz val="14"/>
        <color rgb="FFFF0000"/>
        <rFont val="Calibri"/>
        <family val="2"/>
        <scheme val="minor"/>
      </rPr>
      <t xml:space="preserve"> </t>
    </r>
    <r>
      <rPr>
        <sz val="14"/>
        <color rgb="FF404040"/>
        <rFont val="Calibri"/>
        <family val="2"/>
        <scheme val="minor"/>
      </rPr>
      <t>For more information and examples, see Align Module 4: Aligning Elements to CEDS (Part 2) tutorial.</t>
    </r>
  </si>
  <si>
    <t>Generate System Level Information</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</si>
  <si>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</si>
  <si>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</si>
  <si>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</si>
  <si>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</si>
  <si>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</si>
  <si>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</si>
  <si>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</si>
  <si>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</si>
  <si>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</si>
  <si>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</si>
  <si>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</si>
  <si>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</si>
  <si>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</si>
  <si>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</si>
  <si>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</si>
  <si>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</si>
  <si>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</si>
  <si>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</si>
  <si>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</si>
  <si>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</si>
  <si>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</si>
  <si>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</si>
  <si>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</si>
  <si>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</si>
  <si>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</si>
  <si>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</si>
  <si>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</si>
  <si>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</si>
  <si>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</si>
  <si>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</si>
  <si>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</si>
  <si>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</si>
  <si>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FS125 N or D Academic Achievement - LEA ETL Detail</t>
  </si>
  <si>
    <t>MSIS 2.0 Curated Zone</t>
  </si>
  <si>
    <r>
      <t>ED</t>
    </r>
    <r>
      <rPr>
        <b/>
        <i/>
        <sz val="14"/>
        <rFont val="Calibri"/>
        <family val="2"/>
        <scheme val="minor"/>
      </rPr>
      <t>Facts</t>
    </r>
    <r>
      <rPr>
        <b/>
        <sz val="14"/>
        <rFont val="Calibri"/>
        <family val="2"/>
        <scheme val="minor"/>
      </rPr>
      <t xml:space="preserve"> Information</t>
    </r>
  </si>
  <si>
    <t>Source Common Name</t>
  </si>
  <si>
    <t>Source Schema name</t>
  </si>
  <si>
    <t>Curated Zone Dimension Table Name</t>
  </si>
  <si>
    <t>Curated Zone Dimension Column Name</t>
  </si>
  <si>
    <t>Curated Zone Fact Table Name</t>
  </si>
  <si>
    <t>Curated Zone Fact Column Name</t>
  </si>
  <si>
    <t>EDFacts File Spec Number(s)</t>
  </si>
  <si>
    <t>FS125</t>
  </si>
  <si>
    <t>K12 -&gt; LEA -&gt; Identification</t>
  </si>
  <si>
    <t>Local Education Agency Identifier</t>
  </si>
  <si>
    <t>A unique number or alphanumeric code assigned to a local education agency by a school system, a state, or other agency or entity.</t>
  </si>
  <si>
    <t>nvarchar</t>
  </si>
  <si>
    <t>001068</t>
  </si>
  <si>
    <t>Generate</t>
  </si>
  <si>
    <t>K12Enrollment
ProgramParticipationNorD</t>
  </si>
  <si>
    <t>LeaIdentifierSeaAccountability
LeaIdentifierSeaAccountability</t>
  </si>
  <si>
    <t>DimLeas</t>
  </si>
  <si>
    <t>LeaIdentifierSea</t>
  </si>
  <si>
    <t>FactK12StudentCounts</t>
  </si>
  <si>
    <t>LeaId</t>
  </si>
  <si>
    <t>ReportEDFactsK12StudentCounts</t>
  </si>
  <si>
    <t>OrganizationIdentifierSea</t>
  </si>
  <si>
    <t>K12 -&gt; K12 Student -&gt; Identity -&gt; Identification</t>
  </si>
  <si>
    <t>Student Identifier</t>
  </si>
  <si>
    <t>A unique number or alphanumeric code assigned to a student by a school, school system, a state, or other agency or entity.</t>
  </si>
  <si>
    <t>001071</t>
  </si>
  <si>
    <t>StudentIdentifierState
StudentIdentifierState</t>
  </si>
  <si>
    <t>DimPeople</t>
  </si>
  <si>
    <t>K12StudentStudentIdentifierState</t>
  </si>
  <si>
    <t>N/A - Not migrated to this data layer</t>
  </si>
  <si>
    <t>K12 -&gt; K12 Student -&gt; Demographic</t>
  </si>
  <si>
    <t>Birthdate</t>
  </si>
  <si>
    <t>The year month and day on which a person was born.</t>
  </si>
  <si>
    <t>YYYY-MM-DD</t>
  </si>
  <si>
    <t>000033</t>
  </si>
  <si>
    <t>K12Enrollment</t>
  </si>
  <si>
    <t>BirthDate</t>
  </si>
  <si>
    <t>K12 -&gt; K12 Student -&gt; Enrollment</t>
  </si>
  <si>
    <t>Enrollment Entry Date</t>
  </si>
  <si>
    <t>The month, day, and year on which a person enters and begins to receive instructional services in a school, institution, program, or class-section during a given session.</t>
  </si>
  <si>
    <t>date</t>
  </si>
  <si>
    <t>000097</t>
  </si>
  <si>
    <t>EnrollmentEntryDate</t>
  </si>
  <si>
    <t>Enrollment Exit Date</t>
  </si>
  <si>
    <t>The year, month and day on which the student officially withdrew or graduated, i.e. the date on which the student's enrollment ended.</t>
  </si>
  <si>
    <t>000107</t>
  </si>
  <si>
    <t>EnrollmentExitDate</t>
  </si>
  <si>
    <t>K12 -&gt; Calendar -&gt; Session</t>
  </si>
  <si>
    <t>School Year</t>
  </si>
  <si>
    <t>The year for a reported school session.</t>
  </si>
  <si>
    <t>smallint</t>
  </si>
  <si>
    <t>000243</t>
  </si>
  <si>
    <t>SchoolYear
SchoolYear</t>
  </si>
  <si>
    <t>ReportYear</t>
  </si>
  <si>
    <t>K12 -&gt; K12 Student -&gt; Neglected or Delinquent</t>
  </si>
  <si>
    <t>Neglected or Delinquent Status</t>
  </si>
  <si>
    <t>An indication that the student is participating in programs for neglected or delinquent students (N or D) under Title I, Part D, Subpart 1 (state agencies) of ESEA as amended.</t>
  </si>
  <si>
    <t>Yes</t>
  </si>
  <si>
    <t>71791</t>
  </si>
  <si>
    <t>ProgramParticipationNorD</t>
  </si>
  <si>
    <t>NeglectedOrDelinquentStatus</t>
  </si>
  <si>
    <t>DimNOrDStatuses</t>
  </si>
  <si>
    <t>NeglectedOrDelinquentStatusCode</t>
  </si>
  <si>
    <t>NorDStatusId</t>
  </si>
  <si>
    <t>No</t>
  </si>
  <si>
    <t>Unknown</t>
  </si>
  <si>
    <t>Neglected or Delinquent Academic Achievement Indicator</t>
  </si>
  <si>
    <t>Student was served by Title I, Part D, Subpart 1 of ESEA as amended for at least 90 consecutive days during the reporting period who took both a pre- and post-test.</t>
  </si>
  <si>
    <t>71903</t>
  </si>
  <si>
    <t>NeglectedOrDelinquentAcademicAchievementIndicator</t>
  </si>
  <si>
    <t>NeglectedOrDelinquentAcademicAchievementIndicatorCode</t>
  </si>
  <si>
    <t>Assessments -&gt; Assessment</t>
  </si>
  <si>
    <t>Assessment Academic Subject</t>
  </si>
  <si>
    <t>The description of the academic content or subject area (e.g., arts, mathematics, reading, or a foreign language) being evaluated.</t>
  </si>
  <si>
    <t>Math</t>
  </si>
  <si>
    <t>Mathematics</t>
  </si>
  <si>
    <t>71174</t>
  </si>
  <si>
    <t>AssessmentAcademicSubject</t>
  </si>
  <si>
    <t>DimAssessments</t>
  </si>
  <si>
    <t>AssessmentAcademicSubjectCode</t>
  </si>
  <si>
    <t>AssessmentId</t>
  </si>
  <si>
    <t>ASSESSMENTACADEMICSUBJECT</t>
  </si>
  <si>
    <t>RLA</t>
  </si>
  <si>
    <t>Reading/language arts</t>
  </si>
  <si>
    <t>K12 -&gt; K12 Student -&gt; Academic Record</t>
  </si>
  <si>
    <t>Progress Level</t>
  </si>
  <si>
    <t>The amount of progress shown in academic subjects.</t>
  </si>
  <si>
    <t>UPONEGRADE</t>
  </si>
  <si>
    <t>Up to one full grade.</t>
  </si>
  <si>
    <t>71874</t>
  </si>
  <si>
    <t>ProgramParticipationNorD
ProgramParticipationNorD</t>
  </si>
  <si>
    <t>ProgressLevel_Math
ProgressLevel_Reading</t>
  </si>
  <si>
    <t>DimAssessmentStatuses</t>
  </si>
  <si>
    <t>AssessmentStatusId</t>
  </si>
  <si>
    <t>PROGRESSLEVEL</t>
  </si>
  <si>
    <t>UPGTONE</t>
  </si>
  <si>
    <t>More than one full grade</t>
  </si>
  <si>
    <t>NEGGRADE</t>
  </si>
  <si>
    <t>Negative change</t>
  </si>
  <si>
    <t>NOCHANGE</t>
  </si>
  <si>
    <t>No change</t>
  </si>
  <si>
    <t>Program Participation Start Date</t>
  </si>
  <si>
    <t>The year, month and day on which the person began to participate in a program.</t>
  </si>
  <si>
    <t>71989</t>
  </si>
  <si>
    <t>ProgramParticipationBeginDate</t>
  </si>
  <si>
    <t>Program Participation Exit Date</t>
  </si>
  <si>
    <t>The year, month and day on which the person ceased to participate in a program.</t>
  </si>
  <si>
    <t>71990</t>
  </si>
  <si>
    <t>ProgramParticipationExitDate</t>
  </si>
  <si>
    <t>Element pending inclusion in CEDS: See https://github.com/CEDStandards/CEDS-Elements/issues/848</t>
  </si>
  <si>
    <t>K12 -&gt; K12 Student -&gt; Neglected or Delinquent
PENDING https://github.com/CEDStandards/CEDS-Elements/issues/848</t>
  </si>
  <si>
    <t>Neglected or Delinquent Long Term Status
PENDING https://github.com/CEDStandards/CEDS-Elements/issues/848</t>
  </si>
  <si>
    <t>Long-Term Neglected or Delinquent Student
PENDING https://github.com/CEDStandards/CEDS-Elements/issues/848</t>
  </si>
  <si>
    <t>NDLONGTERM
PENDING https://github.com/CEDStandards/CEDS-Elements/issues/848</t>
  </si>
  <si>
    <t>Long-Term N or D Students
PENDING https://github.com/CEDStandards/CEDS-Elements/issues/848</t>
  </si>
  <si>
    <t>PENDING https://github.com/CEDStandards/CEDS-Elements/issues/848</t>
  </si>
  <si>
    <t>Pending https://github.com/CEDStandards/CEDS-Elements/issues/848</t>
  </si>
  <si>
    <t>NeglectedOrDelinquentLongTermStatus</t>
  </si>
  <si>
    <t>DimNorDStatuses</t>
  </si>
  <si>
    <t>NeglectedOrDelinquentLongTermStatusCode</t>
  </si>
  <si>
    <t>NEGLECTEDORDELINQUENTLONGTERMSTATUS</t>
  </si>
  <si>
    <t xml:space="preserve">During the review process, the information below was not available in the ODS_SIS. MDE staff will populate the information when it is available. </t>
  </si>
  <si>
    <t xml:space="preserve">Missing data in the ETL tab has been clearly marked (highlighted in yellow with comments). </t>
  </si>
  <si>
    <t>Element</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</si>
  <si>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</si>
  <si>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</si>
  <si>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</si>
  <si>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</si>
  <si>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</si>
  <si>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</si>
  <si>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</si>
  <si>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ODS_SIS</t>
  </si>
  <si>
    <t>dbo</t>
  </si>
  <si>
    <t>Enrollment_K12Student</t>
  </si>
  <si>
    <t>LocalEducationAgencyIdentifier</t>
  </si>
  <si>
    <t>Judy Nelson in Office of Federal Programs</t>
  </si>
  <si>
    <t>StudentIdentifier</t>
  </si>
  <si>
    <t>Demographics_K12Student</t>
  </si>
  <si>
    <t/>
  </si>
  <si>
    <t>FNGetSchoolYear[date]</t>
  </si>
  <si>
    <t>NeglectedOrDelinquentProgramType</t>
  </si>
  <si>
    <t>DelinquentPrograms, NeglectedPrograms</t>
  </si>
  <si>
    <t>If NeglectedOrDelinquentProgramType IN ('DelinquentPrograms', 'NeglectedPrograms') THEN 'Yes'</t>
  </si>
  <si>
    <t>MISSING</t>
  </si>
  <si>
    <t>Missing Information</t>
  </si>
  <si>
    <t>All ODS_SIS information.</t>
  </si>
  <si>
    <t>Program Participation End Date</t>
  </si>
  <si>
    <r>
      <t>The column [ProgramParticipation</t>
    </r>
    <r>
      <rPr>
        <sz val="11"/>
        <rFont val="Calibri"/>
        <family val="2"/>
      </rPr>
      <t>End</t>
    </r>
    <r>
      <rPr>
        <sz val="11"/>
        <color rgb="FF000000"/>
        <rFont val="Calibri"/>
        <family val="2"/>
      </rPr>
      <t xml:space="preserve">Date] needs to be changed in Generate to [ProgramParticipationExitDate] to align with CEDS. This change is pending OSC review and approval in the CEDS Data Warehouse repository. See </t>
    </r>
    <r>
      <rPr>
        <i/>
        <sz val="11"/>
        <rFont val="Calibri"/>
        <family val="2"/>
      </rPr>
      <t>https://github.com/CEDStandards/CEDS-Data-Warehouse/issues/99.</t>
    </r>
  </si>
  <si>
    <t>CEDS definition is pending an update (see OSC ticket).</t>
  </si>
  <si>
    <r>
      <t xml:space="preserve">The CEDS definition for [Neglected or Delinquent Status] is pending community review in the OSC. See </t>
    </r>
    <r>
      <rPr>
        <i/>
        <sz val="11"/>
        <color rgb="FF000000"/>
        <rFont val="Calibri"/>
        <family val="2"/>
      </rPr>
      <t>https://github.com/CEDStandards/CEDS-Elements/issues/850</t>
    </r>
    <r>
      <rPr>
        <sz val="11"/>
        <color rgb="FF000000"/>
        <rFont val="Calibri"/>
        <family val="2"/>
      </rPr>
      <t>.</t>
    </r>
  </si>
  <si>
    <t>Missing from Generate Staging, RDS</t>
  </si>
  <si>
    <t>These columns are highlighted yellow on "ETL Detail". The Generate technical team is considering moving this data direct from staging without use of RDS.DimAssessments. This would require some custom handling of subject values.</t>
  </si>
  <si>
    <t>Expected options: Math, RLA</t>
  </si>
  <si>
    <t>All ODS_SIS Information.</t>
  </si>
  <si>
    <t>Expected options: UPONEGRADE, UPGTONE, NEGGRADE, NOCHANGE</t>
  </si>
  <si>
    <t>Expected options: Yes, No</t>
  </si>
  <si>
    <t>Neglected or Delinquent Long Term Status</t>
  </si>
  <si>
    <t>Expected options: NDLONGTERM</t>
  </si>
  <si>
    <t>The CEDS definition for [Neglected or Delinquent Long Term Status] is pending community review in the OSC. https://github.com/CEDStandards/CEDS-Elements/issues/848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</si>
</sst>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64"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sz val="14"/>
      <color rgb="FFFF0000"/>
      <name val="Calibri"/>
      <family val="2"/>
      <scheme val="minor"/>
    </font>
    <font>
      <sz val="14"/>
      <color rgb="FF000000"/>
      <name val="Calibri"/>
      <family val="2"/>
      <scheme val="minor"/>
    </font>
    <font>
      <sz val="10"/>
      <color theme="1" tint="0.249977111117893"/>
      <name val="Calibri"/>
      <family val="2"/>
      <scheme val="minor"/>
    </font>
    <font>
      <b/>
      <sz val="12"/>
      <color rgb="FFFFFFFF"/>
      <name val="Calibri"/>
      <family val="2"/>
      <scheme val="minor"/>
    </font>
    <font>
      <sz val="11"/>
      <name val="Calibri"/>
      <family val="2"/>
      <scheme val="minor"/>
    </font>
    <font>
      <b/>
      <sz val="14"/>
      <name val="Calibri"/>
      <family val="2"/>
      <scheme val="minor"/>
    </font>
    <font>
      <b/>
      <i/>
      <sz val="14"/>
      <name val="Calibri"/>
      <family val="2"/>
      <scheme val="minor"/>
    </font>
    <font>
      <b/>
      <sz val="11"/>
      <color theme="1"/>
      <name val="Calibri"/>
      <family val="2"/>
      <scheme val="minor"/>
    </font>
    <font>
      <sz val="10"/>
      <name val="Calibri"/>
      <family val="2"/>
      <scheme val="minor"/>
    </font>
    <font>
      <sz val="11"/>
      <color rgb="FF000000"/>
      <name val="Calibri"/>
      <family val="2"/>
      <scheme val="minor"/>
    </font>
    <font>
      <sz val="11"/>
      <color rgb="FF0000CC"/>
      <name val="Calibri"/>
      <family val="2"/>
      <scheme val="minor"/>
    </font>
    <font>
      <i/>
      <sz val="11"/>
      <color rgb="FF0000CC"/>
      <name val="Calibri"/>
      <family val="2"/>
      <scheme val="minor"/>
    </font>
    <font>
      <sz val="11"/>
      <color rgb="FF000000"/>
      <name val="Calibri"/>
      <family val="2"/>
    </font>
    <font>
      <b/>
      <sz val="12"/>
      <color rgb="FF000000"/>
      <name val="Calibri"/>
      <family val="2"/>
      <scheme val="minor"/>
    </font>
    <font>
      <sz val="12"/>
      <color rgb="FF000000"/>
      <name val="Calibri"/>
      <family val="2"/>
    </font>
    <font>
      <sz val="11"/>
      <name val="Calibri"/>
      <family val="2"/>
    </font>
    <font>
      <i/>
      <sz val="11"/>
      <name val="Calibri"/>
      <family val="2"/>
    </font>
    <font>
      <i/>
      <sz val="11"/>
      <color rgb="FF000000"/>
      <name val="Calibri"/>
      <family val="2"/>
    </font>
  </fonts>
  <fills count="11">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rgb="FF2B5266"/>
        <bgColor rgb="FF000000"/>
      </patternFill>
    </fill>
    <fill>
      <patternFill patternType="solid">
        <fgColor theme="3"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FF00"/>
        <bgColor rgb="FF000000"/>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thin">
        <color indexed="64"/>
      </top>
      <bottom style="thin">
        <color indexed="64"/>
      </bottom>
      <diagonal/>
    </border>
    <border>
      <left style="thick">
        <color indexed="64"/>
      </left>
      <right style="thick">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142">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0"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1" fillId="0" borderId="0" xfId="0" applyFont="1" applyAlignment="1">
      <alignment horizontal="center" vertical="center" wrapText="1"/>
    </xf>
    <xf numFmtId="0" fontId="41" fillId="0" borderId="0" xfId="0" applyFont="1" applyAlignment="1">
      <alignment horizontal="center" vertical="center"/>
    </xf>
    <xf numFmtId="0" fontId="41" fillId="0" borderId="2" xfId="0" applyFont="1" applyBorder="1" applyAlignment="1">
      <alignment horizontal="center" vertical="center" wrapText="1"/>
    </xf>
    <xf numFmtId="0" fontId="45" fillId="0" borderId="5" xfId="0" applyFont="1" applyBorder="1" applyAlignment="1">
      <alignment horizontal="centerContinuous"/>
    </xf>
    <xf numFmtId="0" fontId="0" fillId="0" borderId="6" xfId="0" applyBorder="1" applyAlignment="1">
      <alignment horizontal="centerContinuous"/>
    </xf>
    <xf numFmtId="0" fontId="45" fillId="0" borderId="6" xfId="0" applyFont="1" applyBorder="1" applyAlignment="1">
      <alignment horizontal="centerContinuous"/>
    </xf>
    <xf numFmtId="0" fontId="0" fillId="0" borderId="6" xfId="0" applyBorder="1" applyAlignment="1">
      <alignment horizontal="centerContinuous" wrapText="1"/>
    </xf>
    <xf numFmtId="0" fontId="0" fillId="0" borderId="7" xfId="0" applyBorder="1" applyAlignment="1">
      <alignment horizontal="centerContinuous" wrapText="1"/>
    </xf>
    <xf numFmtId="0" fontId="41" fillId="0" borderId="4" xfId="0" applyFont="1" applyBorder="1" applyAlignment="1">
      <alignment horizontal="center" vertical="center" wrapText="1"/>
    </xf>
    <xf numFmtId="0" fontId="0" fillId="0" borderId="7" xfId="0" applyBorder="1" applyAlignment="1">
      <alignment horizontal="centerContinuous"/>
    </xf>
    <xf numFmtId="0" fontId="41" fillId="0" borderId="2" xfId="0" applyFont="1" applyBorder="1" applyAlignment="1">
      <alignment horizontal="center" vertical="center"/>
    </xf>
    <xf numFmtId="14" fontId="48" fillId="2" borderId="1" xfId="0" applyNumberFormat="1" applyFont="1" applyFill="1" applyBorder="1" applyAlignment="1">
      <alignment vertical="top" wrapText="1"/>
    </xf>
    <xf numFmtId="0" fontId="48" fillId="2" borderId="1" xfId="0" applyFont="1" applyFill="1" applyBorder="1" applyAlignment="1">
      <alignment vertical="top" wrapText="1"/>
    </xf>
    <xf numFmtId="0" fontId="49" fillId="6" borderId="8" xfId="0" applyFont="1" applyFill="1" applyBorder="1" applyAlignment="1">
      <alignment horizontal="center" vertical="center"/>
    </xf>
    <xf numFmtId="0" fontId="45" fillId="0" borderId="6" xfId="0" applyFont="1" applyBorder="1" applyAlignment="1">
      <alignment horizontal="center"/>
    </xf>
    <xf numFmtId="0" fontId="0" fillId="0" borderId="0" xfId="0" applyAlignment="1">
      <alignment vertical="top" wrapText="1"/>
    </xf>
    <xf numFmtId="0" fontId="50" fillId="0" borderId="0" xfId="0" applyFont="1" applyAlignment="1">
      <alignment vertical="top" wrapText="1"/>
    </xf>
    <xf numFmtId="0" fontId="50" fillId="0" borderId="0" xfId="0" applyFont="1" applyAlignment="1">
      <alignment wrapText="1"/>
    </xf>
    <xf numFmtId="0" fontId="51" fillId="0" borderId="7" xfId="0" applyFont="1" applyBorder="1" applyAlignment="1">
      <alignment horizontal="center"/>
    </xf>
    <xf numFmtId="0" fontId="50" fillId="0" borderId="0" xfId="0" applyFont="1"/>
    <xf numFmtId="0" fontId="0" fillId="0" borderId="6" xfId="0" applyBorder="1" applyAlignment="1">
      <alignment horizontal="center" wrapText="1"/>
    </xf>
    <xf numFmtId="0" fontId="53" fillId="0" borderId="0" xfId="0" applyFont="1"/>
    <xf numFmtId="0" fontId="41" fillId="0" borderId="9" xfId="0" applyFont="1" applyBorder="1" applyAlignment="1">
      <alignment horizontal="center" vertical="center" wrapText="1"/>
    </xf>
    <xf numFmtId="49" fontId="0" fillId="0" borderId="0" xfId="0" applyNumberFormat="1" applyAlignment="1">
      <alignment horizontal="left" wrapText="1"/>
    </xf>
    <xf numFmtId="49" fontId="41" fillId="0" borderId="0" xfId="0" applyNumberFormat="1" applyFont="1" applyAlignment="1">
      <alignment horizontal="center" vertical="center" wrapText="1"/>
    </xf>
    <xf numFmtId="49" fontId="0" fillId="0" borderId="0" xfId="0" applyNumberFormat="1"/>
    <xf numFmtId="164" fontId="0" fillId="0" borderId="0" xfId="0" applyNumberFormat="1" applyAlignment="1">
      <alignment horizontal="left" wrapText="1"/>
    </xf>
    <xf numFmtId="164" fontId="41" fillId="0" borderId="2" xfId="0" applyNumberFormat="1" applyFont="1" applyBorder="1" applyAlignment="1">
      <alignment horizontal="center" vertical="center" wrapText="1"/>
    </xf>
    <xf numFmtId="164" fontId="0" fillId="0" borderId="0" xfId="0" applyNumberFormat="1"/>
    <xf numFmtId="0" fontId="0" fillId="7" borderId="13" xfId="0" applyFill="1" applyBorder="1" applyAlignment="1">
      <alignment vertical="top"/>
    </xf>
    <xf numFmtId="0" fontId="50" fillId="7" borderId="13" xfId="0" applyFont="1" applyFill="1" applyBorder="1" applyAlignment="1">
      <alignment vertical="top"/>
    </xf>
    <xf numFmtId="0" fontId="50" fillId="7" borderId="13" xfId="0" applyFont="1" applyFill="1" applyBorder="1" applyAlignment="1">
      <alignment vertical="top" wrapText="1"/>
    </xf>
    <xf numFmtId="0" fontId="55" fillId="7" borderId="13" xfId="0" applyFont="1" applyFill="1" applyBorder="1" applyAlignment="1">
      <alignment vertical="top"/>
    </xf>
    <xf numFmtId="0" fontId="58" fillId="7" borderId="13" xfId="0" applyFont="1" applyFill="1" applyBorder="1" applyAlignment="1">
      <alignment vertical="top" wrapText="1"/>
    </xf>
    <xf numFmtId="0" fontId="58" fillId="7" borderId="13" xfId="0" applyFont="1" applyFill="1" applyBorder="1" applyAlignment="1">
      <alignment wrapText="1"/>
    </xf>
    <xf numFmtId="0" fontId="50" fillId="0" borderId="13" xfId="0" applyFont="1" applyBorder="1" applyAlignment="1">
      <alignment vertical="top"/>
    </xf>
    <xf numFmtId="0" fontId="55" fillId="0" borderId="13" xfId="0" applyFont="1" applyBorder="1" applyAlignment="1">
      <alignment vertical="top"/>
    </xf>
    <xf numFmtId="0" fontId="55" fillId="8" borderId="13" xfId="0" applyFont="1" applyFill="1" applyBorder="1" applyAlignment="1">
      <alignment vertical="top"/>
    </xf>
    <xf numFmtId="0" fontId="50" fillId="9" borderId="13" xfId="0" applyFont="1" applyFill="1" applyBorder="1" applyAlignment="1">
      <alignment vertical="top"/>
    </xf>
    <xf numFmtId="0" fontId="0" fillId="9" borderId="13" xfId="0" applyFill="1" applyBorder="1" applyAlignment="1">
      <alignment vertical="top"/>
    </xf>
    <xf numFmtId="0" fontId="50" fillId="9" borderId="13" xfId="0" applyFont="1" applyFill="1" applyBorder="1" applyAlignment="1">
      <alignment vertical="top" wrapText="1"/>
    </xf>
    <xf numFmtId="0" fontId="0" fillId="0" borderId="13" xfId="0" applyBorder="1" applyAlignment="1">
      <alignment vertical="top" wrapText="1"/>
    </xf>
    <xf numFmtId="0" fontId="0" fillId="0" borderId="13" xfId="0" applyBorder="1" applyAlignment="1">
      <alignment vertical="top"/>
    </xf>
    <xf numFmtId="0" fontId="57" fillId="0" borderId="13" xfId="0" applyFont="1" applyBorder="1" applyAlignment="1">
      <alignment vertical="top" wrapText="1"/>
    </xf>
    <xf numFmtId="49" fontId="54" fillId="0" borderId="13" xfId="0" applyNumberFormat="1" applyFont="1" applyBorder="1" applyAlignment="1">
      <alignment horizontal="left" vertical="top" wrapText="1"/>
    </xf>
    <xf numFmtId="0" fontId="54" fillId="0" borderId="13" xfId="0" applyFont="1" applyBorder="1" applyAlignment="1">
      <alignment horizontal="left" vertical="top" wrapText="1"/>
    </xf>
    <xf numFmtId="164" fontId="50" fillId="0" borderId="13" xfId="0" applyNumberFormat="1" applyFont="1" applyBorder="1" applyAlignment="1">
      <alignment horizontal="right" vertical="top" wrapText="1"/>
    </xf>
    <xf numFmtId="49" fontId="50" fillId="0" borderId="13" xfId="0" applyNumberFormat="1" applyFont="1" applyBorder="1" applyAlignment="1">
      <alignment horizontal="left" vertical="top" wrapText="1"/>
    </xf>
    <xf numFmtId="0" fontId="55" fillId="0" borderId="13" xfId="0" applyFont="1" applyBorder="1" applyAlignment="1">
      <alignment vertical="top" wrapText="1"/>
    </xf>
    <xf numFmtId="0" fontId="55" fillId="0" borderId="13" xfId="0" applyFont="1" applyBorder="1" applyAlignment="1">
      <alignment horizontal="left" vertical="top" wrapText="1"/>
    </xf>
    <xf numFmtId="0" fontId="50" fillId="0" borderId="13" xfId="0" applyFont="1" applyBorder="1" applyAlignment="1">
      <alignment vertical="top" wrapText="1"/>
    </xf>
    <xf numFmtId="0" fontId="50" fillId="0" borderId="13" xfId="0" applyFont="1" applyBorder="1" applyAlignment="1">
      <alignment horizontal="left" vertical="top" wrapText="1"/>
    </xf>
    <xf numFmtId="49" fontId="0" fillId="0" borderId="13" xfId="0" applyNumberFormat="1" applyBorder="1" applyAlignment="1">
      <alignment vertical="top"/>
    </xf>
    <xf numFmtId="164" fontId="0" fillId="0" borderId="13" xfId="0" applyNumberFormat="1" applyBorder="1" applyAlignment="1">
      <alignment vertical="top"/>
    </xf>
    <xf numFmtId="0" fontId="56" fillId="0" borderId="13" xfId="0" applyFont="1" applyBorder="1" applyAlignment="1">
      <alignment vertical="top" wrapText="1"/>
    </xf>
    <xf numFmtId="0" fontId="56" fillId="0" borderId="13" xfId="0" applyFont="1" applyBorder="1" applyAlignment="1">
      <alignment vertical="top"/>
    </xf>
    <xf numFmtId="164" fontId="56" fillId="0" borderId="13" xfId="0" applyNumberFormat="1" applyFont="1" applyBorder="1" applyAlignment="1">
      <alignment vertical="top" wrapText="1"/>
    </xf>
    <xf numFmtId="49" fontId="56" fillId="0" borderId="13" xfId="0" applyNumberFormat="1" applyFont="1" applyBorder="1" applyAlignment="1">
      <alignment vertical="top" wrapText="1"/>
    </xf>
    <xf numFmtId="0" fontId="0" fillId="0" borderId="0" xfId="0" applyAlignment="1">
      <alignment vertical="top"/>
    </xf>
    <xf numFmtId="0" fontId="55" fillId="8" borderId="0" xfId="0" applyFont="1" applyFill="1" applyAlignment="1">
      <alignment vertical="top"/>
    </xf>
    <xf numFmtId="0" fontId="50" fillId="0" borderId="0" xfId="0" applyFont="1" applyAlignment="1">
      <alignment vertical="top"/>
    </xf>
    <xf numFmtId="0" fontId="0" fillId="9" borderId="0" xfId="0" applyFill="1" applyAlignment="1">
      <alignment vertical="top"/>
    </xf>
    <xf numFmtId="0" fontId="58" fillId="10" borderId="13" xfId="0" applyFont="1" applyFill="1" applyBorder="1" applyAlignment="1">
      <alignment vertical="top" wrapText="1"/>
    </xf>
    <xf numFmtId="0" fontId="59" fillId="0" borderId="0" xfId="0" applyFont="1"/>
    <xf numFmtId="0" fontId="59" fillId="0" borderId="0" xfId="0" applyFont="1" applyAlignment="1">
      <alignment wrapText="1"/>
    </xf>
    <xf numFmtId="0" fontId="58" fillId="0" borderId="0" xfId="0" applyFont="1" applyAlignment="1">
      <alignment horizontal="left" vertical="top"/>
    </xf>
    <xf numFmtId="0" fontId="60" fillId="0" borderId="0" xfId="0" applyFont="1" applyAlignment="1">
      <alignment horizontal="left" vertical="top" wrapText="1"/>
    </xf>
    <xf numFmtId="0" fontId="58" fillId="0" borderId="0" xfId="0" applyFont="1" applyAlignment="1">
      <alignment horizontal="left" vertical="top" wrapText="1"/>
    </xf>
    <xf numFmtId="0" fontId="44" fillId="0" borderId="3" xfId="0" applyFont="1" applyBorder="1" applyAlignment="1">
      <alignment horizontal="left"/>
    </xf>
    <xf numFmtId="0" fontId="0" fillId="3" borderId="0" xfId="0" applyFill="1" applyAlignment="1">
      <alignment horizontal="left" vertical="top"/>
    </xf>
    <xf numFmtId="0" fontId="31" fillId="0" borderId="5" xfId="0" applyFont="1" applyBorder="1" applyAlignment="1">
      <alignment horizontal="center" vertical="top"/>
    </xf>
    <xf numFmtId="0" fontId="31" fillId="0" borderId="6" xfId="0" applyFont="1" applyBorder="1" applyAlignment="1">
      <alignment horizontal="center" vertical="top"/>
    </xf>
    <xf numFmtId="0" fontId="45" fillId="0" borderId="5" xfId="0" applyFont="1" applyBorder="1" applyAlignment="1">
      <alignment horizontal="center"/>
    </xf>
    <xf numFmtId="0" fontId="45" fillId="0" borderId="6" xfId="0" applyFont="1" applyBorder="1" applyAlignment="1">
      <alignment horizontal="center"/>
    </xf>
    <xf numFmtId="0" fontId="45" fillId="0" borderId="7" xfId="0" applyFont="1" applyBorder="1" applyAlignment="1">
      <alignment horizontal="center"/>
    </xf>
    <xf numFmtId="0" fontId="45"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55" fillId="0" borderId="0" xfId="0" applyFont="1" applyAlignment="1">
      <alignment horizontal="left"/>
    </xf>
  </cellXfs>
  <cellStyles count="2">
    <cellStyle name="Hyperlink" xfId="1" builtinId="8"/>
    <cellStyle name="Normal" xfId="0" builtinId="0"/>
  </cellStyles>
  <dxfs count="51">
    <dxf>
      <fill>
        <patternFill patternType="none">
          <fgColor indexed="64"/>
          <bgColor auto="1"/>
        </patternFill>
      </fill>
      <alignment vertical="top" textRotation="0" indent="0" justifyLastLine="0" shrinkToFit="0" readingOrder="0"/>
      <border outline="0">
        <left style="thin">
          <color indexed="64"/>
        </lef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right style="thin">
          <color indexed="64"/>
        </right>
      </border>
    </dxf>
    <dxf>
      <alignment vertical="top" textRotation="0" indent="0" justifyLastLine="0" shrinkToFit="0" readingOrder="0"/>
      <border outline="0">
        <right style="thin">
          <color indexed="64"/>
        </right>
      </border>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border outline="0">
        <left style="thin">
          <color indexed="64"/>
        </left>
      </border>
    </dxf>
    <dxf>
      <fill>
        <patternFill patternType="none">
          <fgColor indexed="64"/>
          <bgColor auto="1"/>
        </patternFill>
      </fill>
      <alignment horizontal="general" vertical="top" textRotation="0" wrapText="0" indent="0" justifyLastLine="0" shrinkToFit="0" readingOrder="0"/>
      <border outline="0">
        <left style="thin">
          <color indexed="64"/>
        </lef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numFmt numFmtId="30" formatCode="@"/>
      <fill>
        <patternFill patternType="none">
          <fgColor indexed="64"/>
          <bgColor auto="1"/>
        </patternFill>
      </fill>
      <alignment vertical="top" textRotation="0" indent="0" justifyLastLine="0" shrinkToFit="0" readingOrder="0"/>
      <border outline="0">
        <left style="thin">
          <color indexed="64"/>
        </left>
        <right style="thin">
          <color indexed="64"/>
        </right>
      </border>
    </dxf>
    <dxf>
      <numFmt numFmtId="164" formatCode="000000"/>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wrapText="1"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ont>
        <strike val="0"/>
        <outline val="0"/>
        <shadow val="0"/>
        <u val="none"/>
        <vertAlign val="baseline"/>
        <color auto="1"/>
        <name val="Calibri"/>
        <family val="2"/>
        <scheme val="minor"/>
      </font>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1"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vertical="top" textRotation="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1" indent="0" justifyLastLine="0" shrinkToFit="0" readingOrder="0"/>
      <border outline="0">
        <left style="thin">
          <color indexed="64"/>
        </left>
        <right style="thin">
          <color indexed="64"/>
        </right>
      </border>
    </dxf>
    <dxf>
      <font>
        <color rgb="FF000000"/>
      </font>
      <fill>
        <patternFill patternType="solid">
          <fgColor rgb="FF000000"/>
          <bgColor rgb="FFFFFF0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FF00"/>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fill>
        <patternFill patternType="none">
          <fgColor indexed="64"/>
          <bgColor auto="1"/>
        </patternFill>
      </fill>
      <alignment horizontal="general" vertical="top" textRotation="0" wrapText="0" indent="0" justifyLastLine="0" shrinkToFit="0" readingOrder="0"/>
      <border outline="0">
        <left style="thin">
          <color indexed="64"/>
        </left>
        <right style="thin">
          <color indexed="64"/>
        </right>
      </border>
    </dxf>
    <dxf>
      <alignment vertical="top"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50"/>
      <tableStyleElement type="headerRow" dxfId="49"/>
      <tableStyleElement type="firstRowStripe" dxfId="48"/>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1607820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82880" y="190500"/>
          <a:ext cx="4587240" cy="204978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Best practices</a:t>
          </a:r>
          <a:r>
            <a:rPr lang="en-US" sz="1600" baseline="0"/>
            <a:t> for updating the ETL Detail tab can be found below. </a:t>
          </a:r>
          <a:endParaRPr lang="en-US" sz="1600" i="1"/>
        </a:p>
      </xdr:txBody>
    </xdr:sp>
    <xdr:clientData/>
  </xdr:twoCellAnchor>
  <xdr:twoCellAnchor editAs="oneCell">
    <xdr:from>
      <xdr:col>0</xdr:col>
      <xdr:colOff>177800</xdr:colOff>
      <xdr:row>2</xdr:row>
      <xdr:rowOff>1776547</xdr:rowOff>
    </xdr:from>
    <xdr:to>
      <xdr:col>2</xdr:col>
      <xdr:colOff>9253</xdr:colOff>
      <xdr:row>3</xdr:row>
      <xdr:rowOff>1959428</xdr:rowOff>
    </xdr:to>
    <xdr:sp macro="" textlink="">
      <xdr:nvSpPr>
        <xdr:cNvPr id="2" name="TextBox 1">
          <a:extLst>
            <a:ext uri="{FF2B5EF4-FFF2-40B4-BE49-F238E27FC236}">
              <a16:creationId xmlns:a16="http://schemas.microsoft.com/office/drawing/2014/main" id="{E276C4F8-49E0-4631-9F7C-78F8F74F4A33}"/>
            </a:ext>
          </a:extLst>
        </xdr:cNvPr>
        <xdr:cNvSpPr txBox="1"/>
      </xdr:nvSpPr>
      <xdr:spPr>
        <a:xfrm>
          <a:off x="177800" y="2418804"/>
          <a:ext cx="4599396" cy="5386253"/>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a:t>
          </a:r>
          <a:r>
            <a:rPr lang="en-US" sz="2000" b="1" baseline="0"/>
            <a:t> the ETL Detail Tab</a:t>
          </a:r>
        </a:p>
        <a:p>
          <a:r>
            <a:rPr lang="en-US" sz="1600"/>
            <a:t>Follow these best practices</a:t>
          </a:r>
          <a:r>
            <a:rPr lang="en-US" sz="1600" baseline="0"/>
            <a:t> to maintain consistent row numbering in the ETL Detail tab and ensure changes to the ETL are easily identifiable. </a:t>
          </a:r>
        </a:p>
        <a:p>
          <a:endParaRPr lang="en-US" sz="1600" i="1" baseline="0"/>
        </a:p>
        <a:p>
          <a:r>
            <a:rPr lang="en-US" sz="1600" i="0" baseline="0"/>
            <a:t>- </a:t>
          </a:r>
          <a:r>
            <a:rPr lang="en-US" sz="1600" i="1" baseline="0"/>
            <a:t>Update the ETL Detail tab whenever changes occur. </a:t>
          </a:r>
        </a:p>
        <a:p>
          <a:endParaRPr lang="en-US" sz="1600" i="1" baseline="0"/>
        </a:p>
        <a:p>
          <a:r>
            <a:rPr lang="en-US" sz="1600" i="1" baseline="0"/>
            <a:t>- Use a different colored font to highlight modifications. </a:t>
          </a:r>
        </a:p>
        <a:p>
          <a:endParaRPr lang="en-US" sz="1600" i="1" baseline="0"/>
        </a:p>
        <a:p>
          <a:r>
            <a:rPr lang="en-US" sz="1600" i="1" baseline="0"/>
            <a:t>- Add new rows at the bottom for new elements or options; do not insert rows. </a:t>
          </a:r>
        </a:p>
        <a:p>
          <a:endParaRPr lang="en-US" sz="1600" i="1" baseline="0"/>
        </a:p>
        <a:p>
          <a:r>
            <a:rPr lang="en-US" sz="1600" i="1" baseline="0"/>
            <a:t>- Log all changes in the Change Log-ETL tab.</a:t>
          </a:r>
        </a:p>
        <a:p>
          <a:endParaRPr lang="en-US" sz="1600" i="1" baseline="0"/>
        </a:p>
        <a:p>
          <a:r>
            <a:rPr lang="en-US" sz="1600" i="1" baseline="0"/>
            <a:t>- In the next update, revert previous font changes and remove rows for deprecated elements. </a:t>
          </a:r>
          <a:endParaRPr lang="en-US" sz="160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158934</xdr:colOff>
      <xdr:row>1</xdr:row>
      <xdr:rowOff>0</xdr:rowOff>
    </xdr:from>
    <xdr:to>
      <xdr:col>1</xdr:col>
      <xdr:colOff>4369981</xdr:colOff>
      <xdr:row>5</xdr:row>
      <xdr:rowOff>22860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158934" y="190500"/>
          <a:ext cx="4573451" cy="2227217"/>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ETL Detail tab. It also indicates whether the columns are pre-populated or need to be completed by the SEA team. </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Guidelines for updating the ETL Detail tab can be found in the Instructions tab. </a:t>
          </a:r>
          <a:endParaRPr lang="en-US" sz="1600">
            <a:solidFill>
              <a:schemeClr val="dk1"/>
            </a:solidFill>
            <a:effectLst/>
            <a:latin typeface="+mn-lt"/>
            <a:ea typeface="+mn-ea"/>
            <a:cs typeface="+mn-cs"/>
          </a:endParaRP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20320</xdr:colOff>
      <xdr:row>0</xdr:row>
      <xdr:rowOff>176530</xdr:rowOff>
    </xdr:from>
    <xdr:to>
      <xdr:col>2</xdr:col>
      <xdr:colOff>99060</xdr:colOff>
      <xdr:row>8</xdr:row>
      <xdr:rowOff>251460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6530"/>
          <a:ext cx="4650740" cy="336677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kumimoji="0" lang="en-US" sz="1600" b="0" i="0" u="none" strike="noStrike" kern="0" cap="none" spc="0" normalizeH="0" baseline="0" noProof="0">
              <a:ln>
                <a:noFill/>
              </a:ln>
              <a:solidFill>
                <a:prstClr val="black"/>
              </a:solidFill>
              <a:effectLst/>
              <a:uLnTx/>
              <a:uFillTx/>
              <a:latin typeface="+mn-lt"/>
              <a:ea typeface="+mn-ea"/>
              <a:cs typeface="+mn-cs"/>
            </a:rPr>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 </a:t>
          </a:r>
        </a:p>
        <a:p>
          <a:pPr algn="l"/>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l"/>
          <a:r>
            <a:rPr kumimoji="0" lang="en-US" sz="1600" b="0" i="1" u="none" strike="noStrike" kern="0" cap="none" spc="0" normalizeH="0" baseline="0" noProof="0">
              <a:ln>
                <a:noFill/>
              </a:ln>
              <a:solidFill>
                <a:prstClr val="black"/>
              </a:solidFill>
              <a:effectLst/>
              <a:uLnTx/>
              <a:uFillTx/>
              <a:latin typeface="+mn-lt"/>
              <a:ea typeface="+mn-ea"/>
              <a:cs typeface="+mn-cs"/>
            </a:rPr>
            <a:t>Best practices for updating the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23" totalsRowShown="0" headerRowDxfId="47" dataDxfId="46" headerRowCellStyle="Normal" dataCellStyle="Normal">
  <autoFilter ref="A3:AT23" xr:uid="{00000000-0009-0000-0100-000001000000}"/>
  <tableColumns count="46">
    <tableColumn id="1" xr3:uid="{00000000-0010-0000-0000-000001000000}" name="Source Common Name" dataDxfId="45" dataCellStyle="Normal"/>
    <tableColumn id="3" xr3:uid="{00000000-0010-0000-0000-000003000000}" name="Source Database Name" dataDxfId="44" dataCellStyle="Normal"/>
    <tableColumn id="29" xr3:uid="{53A6A2D4-6E3F-4162-9947-C33D4E64E4F7}" name="Source Schema name" dataDxfId="43" dataCellStyle="Normal"/>
    <tableColumn id="4" xr3:uid="{00000000-0010-0000-0000-000004000000}" name="Source Table Name" dataDxfId="42" dataCellStyle="Normal"/>
    <tableColumn id="5" xr3:uid="{00000000-0010-0000-0000-000005000000}" name="Source Column Name" dataDxfId="41" dataCellStyle="Normal"/>
    <tableColumn id="6" xr3:uid="{00000000-0010-0000-0000-000006000000}" name="Source Element Name" dataDxfId="40" dataCellStyle="Normal"/>
    <tableColumn id="7" xr3:uid="{00000000-0010-0000-0000-000007000000}" name="Source Element Definition" dataDxfId="39" dataCellStyle="Normal"/>
    <tableColumn id="8" xr3:uid="{00000000-0010-0000-0000-000008000000}" name="Source Data Type" dataDxfId="38" dataCellStyle="Normal"/>
    <tableColumn id="20" xr3:uid="{8B7AC2F9-CFC0-4F1E-8B1B-AE81203599AC}" name="Source Data Length" dataDxfId="37" dataCellStyle="Normal"/>
    <tableColumn id="9" xr3:uid="{00000000-0010-0000-0000-000009000000}" name="Source Option Set Code" dataDxfId="36" dataCellStyle="Normal"/>
    <tableColumn id="10" xr3:uid="{00000000-0010-0000-0000-00000A000000}" name="Source Option Set Description" dataDxfId="35" dataCellStyle="Normal"/>
    <tableColumn id="11" xr3:uid="{00000000-0010-0000-0000-00000B000000}" name="Source Data Steward" dataDxfId="34" dataCellStyle="Normal"/>
    <tableColumn id="18" xr3:uid="{0BB4378A-68E1-49DE-B200-7627A76E110A}" name="Curated Zone Dimension Table Name" dataDxfId="33"/>
    <tableColumn id="19" xr3:uid="{8186AF63-6EE9-40E5-9D6C-24815084EC5D}" name="Curated Zone Dimension Column Name" dataDxfId="32"/>
    <tableColumn id="48" xr3:uid="{0B238F03-6085-4485-82F5-A8D4BBF6E8FE}" name="Curated Zone Fact Table Name" dataDxfId="31"/>
    <tableColumn id="49" xr3:uid="{FEF08AC6-AC3C-492E-9360-7B6F91678B72}" name="Curated Zone Fact Column Name" dataDxfId="30"/>
    <tableColumn id="12" xr3:uid="{00000000-0010-0000-0000-00000C000000}" name="Selection Criteria" dataDxfId="29" dataCellStyle="Normal"/>
    <tableColumn id="13" xr3:uid="{00000000-0010-0000-0000-00000D000000}" name="Transformation Rules" dataDxfId="28" dataCellStyle="Normal"/>
    <tableColumn id="14" xr3:uid="{00000000-0010-0000-0000-00000E000000}" name="Notes" dataDxfId="27" dataCellStyle="Normal"/>
    <tableColumn id="30" xr3:uid="{8C1FDD04-3D39-4982-A045-C04051208D59}" name="EDFacts File Spec Number(s)" dataDxfId="26" dataCellStyle="Normal"/>
    <tableColumn id="31" xr3:uid="{C8363A96-4B9F-4A3F-AB33-5E400641DCAB}" name="CEDS Path" dataDxfId="25" dataCellStyle="Normal"/>
    <tableColumn id="36" xr3:uid="{5602B6E0-14D9-48A6-82B3-F996A1D16961}" name="CEDS Element Name" dataDxfId="24" dataCellStyle="Normal"/>
    <tableColumn id="35" xr3:uid="{9914F9DF-481E-406E-ABAD-0884BD4BC400}" name="CEDS Element Definition" dataDxfId="23" dataCellStyle="Normal"/>
    <tableColumn id="34" xr3:uid="{883CC262-D96F-4DF6-8B00-DBDF2BCEFB69}" name="CEDS Data Type" dataDxfId="22" dataCellStyle="Normal"/>
    <tableColumn id="22" xr3:uid="{ED9FE72F-953A-4731-8039-2A0E8812C1E8}" name="CEDS Data Length" dataDxfId="21" dataCellStyle="Normal"/>
    <tableColumn id="33" xr3:uid="{5C3D7CD8-D305-4DF2-ADB6-B6C939EAACDF}" name="CEDS Option Set Code" dataDxfId="20" dataCellStyle="Normal"/>
    <tableColumn id="32" xr3:uid="{5C5806A8-7C65-49F2-B4CE-28B2D5202FF9}" name="CEDS Option Set Description" dataDxfId="19" dataCellStyle="Normal"/>
    <tableColumn id="23" xr3:uid="{888DF355-E475-467E-8C45-FA519315C0D4}" name="CEDS Element Global ID" dataDxfId="18" dataCellStyle="Normal"/>
    <tableColumn id="39" xr3:uid="{D9774F0C-C961-490E-A86A-2A8194F43B7C}" name="CEDS Element Data Model ID" dataDxfId="17" dataCellStyle="Normal"/>
    <tableColumn id="38" xr3:uid="{425BA415-269A-48C3-B036-577A14775553}" name="Element Definition Response ID" dataDxfId="16" dataCellStyle="Normal"/>
    <tableColumn id="37" xr3:uid="{6EFD73CB-D547-4523-84C7-34B3321CE2CB}" name="Option Set Response ID" dataDxfId="15" dataCellStyle="Normal"/>
    <tableColumn id="15" xr3:uid="{00000000-0010-0000-0000-00000F000000}" name="Destination Common Name" dataDxfId="14" dataCellStyle="Normal"/>
    <tableColumn id="16" xr3:uid="{00000000-0010-0000-0000-000010000000}" name="Destination Technical Name" dataDxfId="13" dataCellStyle="Normal"/>
    <tableColumn id="17" xr3:uid="{00000000-0010-0000-0000-000011000000}" name="Destination Database Name" dataDxfId="12" dataCellStyle="Normal"/>
    <tableColumn id="41" xr3:uid="{11FD82DA-54D8-4A32-94CF-EF89944B8249}" name="Destination Staging Table Name" dataDxfId="11" dataCellStyle="Normal"/>
    <tableColumn id="40" xr3:uid="{A0695769-D291-47EA-95A0-D43125F8B5AE}" name="Destination Staging Column Name" dataDxfId="10" dataCellStyle="Normal"/>
    <tableColumn id="47" xr3:uid="{23DD0B4C-6A36-419D-8353-DB1F248D89B5}" name="Destination RDS Dimension Table Name" dataDxfId="9" dataCellStyle="Normal"/>
    <tableColumn id="46" xr3:uid="{422901C2-0775-4B55-A3A2-AD49C7A26B7E}" name="Destination RDS Dimension Column Name" dataDxfId="8" dataCellStyle="Normal"/>
    <tableColumn id="45" xr3:uid="{A5F95813-26DB-4C0F-9A52-DF44326A4A13}" name="Destination RDS Fact Table Name" dataDxfId="7" dataCellStyle="Normal"/>
    <tableColumn id="44" xr3:uid="{C994E372-97A6-492E-9B25-6DC29A40BF27}" name="Destination RDS Fact Column Name" dataDxfId="6" dataCellStyle="Normal"/>
    <tableColumn id="43" xr3:uid="{B7EBA0F6-A274-45B0-A88E-5C20D3505208}" name="Destination RDS Report Table Name" dataDxfId="5" dataCellStyle="Normal"/>
    <tableColumn id="42" xr3:uid="{9EA2E7B3-ACFE-416E-9F41-0850802E4315}" name="Destination RDS Report Column Name" dataDxfId="4" dataCellStyle="Normal"/>
    <tableColumn id="25" xr3:uid="{00000000-0010-0000-0000-000019000000}" name="Destination Data Steward" dataDxfId="3" dataCellStyle="Normal"/>
    <tableColumn id="26" xr3:uid="{00000000-0010-0000-0000-00001A000000}" name="Timing/Scheduling" dataDxfId="2" dataCellStyle="Normal"/>
    <tableColumn id="27" xr3:uid="{00000000-0010-0000-0000-00001B000000}" name="Validation Process" dataDxfId="1" dataCellStyle="Normal"/>
    <tableColumn id="28" xr3:uid="{00000000-0010-0000-0000-00001C000000}" name="Notification Process" data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22EBC-C665-44CB-87EC-A7000D84FB83}">
  <dimension ref="A1:C1"/>
  <sheetViews>
    <sheetView workbookViewId="0">
      <selection activeCell="E10" sqref="E10"/>
    </sheetView>
  </sheetViews>
  <sheetFormatPr defaultRowHeight="14.4" x14ac:dyDescent="0.3"/>
  <cols>
    <col min="1" max="1" width="22.33203125" customWidth="1"/>
    <col min="2" max="2" width="28.6640625" customWidth="1"/>
    <col min="3" max="3" width="21.44140625" customWidth="1"/>
  </cols>
  <sheetData>
    <row r="1" spans="1:3" x14ac:dyDescent="0.3">
      <c r="A1" s="84" t="s">
        <v>0</v>
      </c>
      <c r="B1" s="84" t="s">
        <v>1</v>
      </c>
      <c r="C1" s="8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topLeftCell="A9" zoomScale="70" zoomScaleNormal="70" workbookViewId="0"/>
  </sheetViews>
  <sheetFormatPr defaultColWidth="9.109375" defaultRowHeight="14.4" x14ac:dyDescent="0.3"/>
  <cols>
    <col min="1" max="1" width="4.554687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t="s">
        <v>3</v>
      </c>
      <c r="B1" s="3"/>
    </row>
    <row r="2" spans="1:9" ht="33.9" customHeight="1" x14ac:dyDescent="0.3">
      <c r="A2" s="13"/>
      <c r="B2" s="26" t="s">
        <v>4</v>
      </c>
      <c r="C2" s="24"/>
    </row>
    <row r="3" spans="1:9" s="4" customFormat="1" ht="23.4" x14ac:dyDescent="0.3">
      <c r="A3" s="8"/>
      <c r="B3" s="23" t="s">
        <v>5</v>
      </c>
      <c r="C3" s="15"/>
    </row>
    <row r="4" spans="1:9" s="4" customFormat="1" ht="23.4" x14ac:dyDescent="0.3">
      <c r="A4" s="8"/>
      <c r="B4" s="23"/>
      <c r="C4" s="15"/>
    </row>
    <row r="5" spans="1:9" s="5" customFormat="1" ht="21" x14ac:dyDescent="0.3">
      <c r="B5" s="20" t="s">
        <v>6</v>
      </c>
      <c r="C5" s="17"/>
      <c r="D5" s="7"/>
      <c r="I5" s="12"/>
    </row>
    <row r="6" spans="1:9" s="6" customFormat="1" ht="42" x14ac:dyDescent="0.3">
      <c r="B6" s="29" t="s">
        <v>7</v>
      </c>
      <c r="C6" s="18" t="s">
        <v>8</v>
      </c>
    </row>
    <row r="7" spans="1:9" s="5" customFormat="1" ht="21" x14ac:dyDescent="0.3">
      <c r="B7" s="27"/>
      <c r="C7" s="18"/>
    </row>
    <row r="8" spans="1:9" s="11" customFormat="1" ht="21" x14ac:dyDescent="0.3">
      <c r="B8" s="21" t="s">
        <v>9</v>
      </c>
      <c r="C8" s="19"/>
    </row>
    <row r="9" spans="1:9" s="6" customFormat="1" ht="24.9" customHeight="1" x14ac:dyDescent="0.3">
      <c r="B9" s="29" t="s">
        <v>7</v>
      </c>
      <c r="C9" s="22" t="s">
        <v>10</v>
      </c>
      <c r="I9" s="25"/>
    </row>
    <row r="10" spans="1:9" s="6" customFormat="1" ht="24.9" customHeight="1" x14ac:dyDescent="0.3">
      <c r="B10" s="29" t="s">
        <v>7</v>
      </c>
      <c r="C10" s="22" t="s">
        <v>11</v>
      </c>
      <c r="I10" s="25"/>
    </row>
    <row r="11" spans="1:9" s="6" customFormat="1" ht="24.9" customHeight="1" x14ac:dyDescent="0.3">
      <c r="B11" s="29" t="s">
        <v>7</v>
      </c>
      <c r="C11" s="22" t="s">
        <v>12</v>
      </c>
    </row>
    <row r="12" spans="1:9" s="6" customFormat="1" ht="24.9" customHeight="1" x14ac:dyDescent="0.3">
      <c r="B12" s="29" t="s">
        <v>7</v>
      </c>
      <c r="C12" s="18" t="s">
        <v>13</v>
      </c>
    </row>
    <row r="13" spans="1:9" s="6" customFormat="1" ht="24.9" customHeight="1" x14ac:dyDescent="0.3">
      <c r="B13" s="29" t="s">
        <v>7</v>
      </c>
      <c r="C13" s="18" t="s">
        <v>14</v>
      </c>
    </row>
    <row r="14" spans="1:9" s="5" customFormat="1" ht="21" x14ac:dyDescent="0.3">
      <c r="B14" s="27"/>
      <c r="C14" s="18"/>
    </row>
    <row r="15" spans="1:9" s="11" customFormat="1" ht="21" x14ac:dyDescent="0.3">
      <c r="B15" s="21" t="s">
        <v>15</v>
      </c>
      <c r="C15" s="19"/>
    </row>
    <row r="16" spans="1:9" s="6" customFormat="1" ht="47.4" customHeight="1" x14ac:dyDescent="0.3">
      <c r="B16" s="29" t="s">
        <v>7</v>
      </c>
      <c r="C16" s="18" t="s">
        <v>16</v>
      </c>
    </row>
    <row r="17" spans="2:3" s="6" customFormat="1" ht="63" customHeight="1" x14ac:dyDescent="0.3">
      <c r="B17" s="29" t="s">
        <v>7</v>
      </c>
      <c r="C17" s="22" t="s">
        <v>17</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heetViews>
  <sheetFormatPr defaultColWidth="9.109375" defaultRowHeight="14.4" x14ac:dyDescent="0.3"/>
  <cols>
    <col min="1" max="1" width="2.554687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6" t="s">
        <v>18</v>
      </c>
      <c r="B1" s="132"/>
      <c r="C1" s="132"/>
      <c r="D1" s="132"/>
    </row>
    <row r="2" spans="1:12" s="9" customFormat="1" ht="35.1" customHeight="1" x14ac:dyDescent="0.3">
      <c r="D2" s="59" t="s">
        <v>19</v>
      </c>
      <c r="E2" s="59" t="s">
        <v>20</v>
      </c>
      <c r="F2" s="10"/>
      <c r="G2" s="10"/>
      <c r="H2" s="10"/>
      <c r="I2" s="10"/>
      <c r="J2" s="10"/>
      <c r="K2" s="10"/>
      <c r="L2" s="10"/>
    </row>
    <row r="3" spans="1:12" s="9" customFormat="1" ht="409.6" x14ac:dyDescent="0.3">
      <c r="D3" s="47" t="s">
        <v>21</v>
      </c>
      <c r="E3" s="41" t="s">
        <v>22</v>
      </c>
      <c r="F3" s="10"/>
      <c r="G3" s="10"/>
      <c r="H3" s="10"/>
      <c r="I3" s="10"/>
      <c r="J3" s="10"/>
      <c r="K3" s="10"/>
      <c r="L3" s="10"/>
    </row>
    <row r="4" spans="1:12" s="9" customFormat="1" ht="360" x14ac:dyDescent="0.3">
      <c r="D4" s="47" t="s">
        <v>23</v>
      </c>
      <c r="E4" s="41" t="s">
        <v>24</v>
      </c>
    </row>
    <row r="5" spans="1:12" s="9" customFormat="1" ht="144" x14ac:dyDescent="0.3">
      <c r="D5" s="38" t="s">
        <v>25</v>
      </c>
      <c r="E5" s="41" t="s">
        <v>26</v>
      </c>
    </row>
    <row r="6" spans="1:12" s="9" customFormat="1" ht="90" x14ac:dyDescent="0.3">
      <c r="D6" s="47" t="s">
        <v>27</v>
      </c>
      <c r="E6" s="41" t="s">
        <v>28</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topLeftCell="A51" zoomScale="70" zoomScaleNormal="70" zoomScaleSheetLayoutView="100" workbookViewId="0">
      <selection activeCell="D56" sqref="D56"/>
    </sheetView>
  </sheetViews>
  <sheetFormatPr defaultColWidth="9.109375" defaultRowHeight="14.4" x14ac:dyDescent="0.3"/>
  <cols>
    <col min="1" max="1" width="2.5546875" customWidth="1"/>
    <col min="2" max="2" width="65.5546875" style="14" customWidth="1"/>
    <col min="3" max="3" width="2.5546875" style="1" customWidth="1"/>
    <col min="4" max="4" width="41.5546875" style="16" customWidth="1"/>
    <col min="5" max="5" width="32.44140625" style="1" customWidth="1"/>
    <col min="6" max="6" width="35.44140625" style="1" customWidth="1"/>
    <col min="7" max="7" width="104" style="1" customWidth="1"/>
    <col min="8" max="8" width="33.109375" style="1" customWidth="1"/>
    <col min="9" max="16384" width="9.109375" style="1"/>
  </cols>
  <sheetData>
    <row r="1" spans="1:8" s="30" customFormat="1" ht="15" customHeight="1" x14ac:dyDescent="0.4">
      <c r="A1" s="55" t="s">
        <v>29</v>
      </c>
      <c r="C1" s="31"/>
      <c r="D1" s="32"/>
    </row>
    <row r="2" spans="1:8" s="54" customFormat="1" ht="35.1" customHeight="1" x14ac:dyDescent="0.3">
      <c r="A2" s="51"/>
      <c r="D2" s="52" t="s">
        <v>30</v>
      </c>
      <c r="E2" s="52" t="s">
        <v>31</v>
      </c>
      <c r="F2" s="52" t="s">
        <v>32</v>
      </c>
      <c r="G2" s="53" t="s">
        <v>33</v>
      </c>
      <c r="H2" s="53" t="s">
        <v>34</v>
      </c>
    </row>
    <row r="3" spans="1:8" customFormat="1" ht="18" x14ac:dyDescent="0.35">
      <c r="B3" s="14"/>
      <c r="C3" s="1"/>
      <c r="D3" s="33" t="s">
        <v>35</v>
      </c>
      <c r="E3" s="33" t="s">
        <v>36</v>
      </c>
      <c r="F3" s="34"/>
      <c r="G3" s="33"/>
      <c r="H3" s="33"/>
    </row>
    <row r="4" spans="1:8" ht="60" customHeight="1" x14ac:dyDescent="0.35">
      <c r="D4" s="35"/>
      <c r="E4" s="43" t="s">
        <v>37</v>
      </c>
      <c r="F4" s="36" t="s">
        <v>38</v>
      </c>
      <c r="G4" s="37" t="s">
        <v>39</v>
      </c>
      <c r="H4" s="38" t="s">
        <v>40</v>
      </c>
    </row>
    <row r="5" spans="1:8" ht="60" customHeight="1" x14ac:dyDescent="0.3">
      <c r="D5" s="39"/>
      <c r="E5" s="43" t="s">
        <v>37</v>
      </c>
      <c r="F5" s="36" t="s">
        <v>41</v>
      </c>
      <c r="G5" s="37" t="s">
        <v>42</v>
      </c>
      <c r="H5" s="38" t="s">
        <v>40</v>
      </c>
    </row>
    <row r="6" spans="1:8" customFormat="1" ht="18" x14ac:dyDescent="0.35">
      <c r="B6" s="14"/>
      <c r="C6" s="1"/>
      <c r="D6" s="33" t="s">
        <v>43</v>
      </c>
      <c r="E6" s="33" t="s">
        <v>44</v>
      </c>
      <c r="F6" s="34"/>
      <c r="G6" s="33"/>
      <c r="H6" s="33"/>
    </row>
    <row r="7" spans="1:8" s="3" customFormat="1" ht="60" customHeight="1" x14ac:dyDescent="0.3">
      <c r="A7"/>
      <c r="D7" s="40"/>
      <c r="E7" s="41" t="s">
        <v>45</v>
      </c>
      <c r="F7" s="36" t="s">
        <v>46</v>
      </c>
      <c r="G7" s="41" t="s">
        <v>47</v>
      </c>
      <c r="H7" s="38" t="s">
        <v>48</v>
      </c>
    </row>
    <row r="8" spans="1:8" s="3" customFormat="1" ht="60" customHeight="1" x14ac:dyDescent="0.3">
      <c r="A8"/>
      <c r="D8" s="40"/>
      <c r="E8" s="41" t="s">
        <v>45</v>
      </c>
      <c r="F8" s="36" t="s">
        <v>49</v>
      </c>
      <c r="G8" s="41" t="s">
        <v>50</v>
      </c>
      <c r="H8" s="38" t="s">
        <v>51</v>
      </c>
    </row>
    <row r="9" spans="1:8" s="3" customFormat="1" ht="60" customHeight="1" x14ac:dyDescent="0.3">
      <c r="A9"/>
      <c r="D9" s="40"/>
      <c r="E9" s="41" t="s">
        <v>45</v>
      </c>
      <c r="F9" s="36" t="s">
        <v>52</v>
      </c>
      <c r="G9" s="41" t="s">
        <v>53</v>
      </c>
      <c r="H9" s="38" t="s">
        <v>54</v>
      </c>
    </row>
    <row r="10" spans="1:8" s="3" customFormat="1" ht="60" customHeight="1" x14ac:dyDescent="0.3">
      <c r="A10"/>
      <c r="D10" s="40"/>
      <c r="E10" s="41" t="s">
        <v>45</v>
      </c>
      <c r="F10" s="36" t="s">
        <v>55</v>
      </c>
      <c r="G10" s="41" t="s">
        <v>56</v>
      </c>
      <c r="H10" s="38" t="s">
        <v>57</v>
      </c>
    </row>
    <row r="11" spans="1:8" s="3" customFormat="1" ht="60" customHeight="1" x14ac:dyDescent="0.3">
      <c r="A11"/>
      <c r="D11" s="40"/>
      <c r="E11" s="41" t="s">
        <v>45</v>
      </c>
      <c r="F11" s="36" t="s">
        <v>58</v>
      </c>
      <c r="G11" s="41" t="s">
        <v>59</v>
      </c>
      <c r="H11" s="38" t="s">
        <v>60</v>
      </c>
    </row>
    <row r="12" spans="1:8" s="3" customFormat="1" ht="60" customHeight="1" x14ac:dyDescent="0.3">
      <c r="A12"/>
      <c r="D12" s="40"/>
      <c r="E12" s="41" t="s">
        <v>45</v>
      </c>
      <c r="F12" s="36" t="s">
        <v>61</v>
      </c>
      <c r="G12" s="41" t="s">
        <v>62</v>
      </c>
      <c r="H12" s="38" t="s">
        <v>32</v>
      </c>
    </row>
    <row r="13" spans="1:8" s="3" customFormat="1" ht="60" customHeight="1" x14ac:dyDescent="0.3">
      <c r="A13"/>
      <c r="D13" s="40"/>
      <c r="E13" s="41" t="s">
        <v>45</v>
      </c>
      <c r="F13" s="36" t="s">
        <v>63</v>
      </c>
      <c r="G13" s="41" t="s">
        <v>64</v>
      </c>
      <c r="H13" s="38" t="s">
        <v>65</v>
      </c>
    </row>
    <row r="14" spans="1:8" s="3" customFormat="1" ht="60" customHeight="1" x14ac:dyDescent="0.3">
      <c r="A14"/>
      <c r="D14" s="40"/>
      <c r="E14" s="41" t="s">
        <v>45</v>
      </c>
      <c r="F14" s="36" t="s">
        <v>66</v>
      </c>
      <c r="G14" s="41" t="s">
        <v>67</v>
      </c>
      <c r="H14" s="38" t="s">
        <v>68</v>
      </c>
    </row>
    <row r="15" spans="1:8" s="3" customFormat="1" ht="60" customHeight="1" x14ac:dyDescent="0.3">
      <c r="A15"/>
      <c r="D15" s="40"/>
      <c r="E15" s="41" t="s">
        <v>45</v>
      </c>
      <c r="F15" s="36" t="s">
        <v>69</v>
      </c>
      <c r="G15" s="41" t="s">
        <v>70</v>
      </c>
      <c r="H15" s="38" t="s">
        <v>71</v>
      </c>
    </row>
    <row r="16" spans="1:8" s="3" customFormat="1" ht="60" customHeight="1" x14ac:dyDescent="0.3">
      <c r="A16"/>
      <c r="D16" s="40"/>
      <c r="E16" s="41" t="s">
        <v>45</v>
      </c>
      <c r="F16" s="36" t="s">
        <v>72</v>
      </c>
      <c r="G16" s="41" t="s">
        <v>73</v>
      </c>
      <c r="H16" s="38" t="s">
        <v>74</v>
      </c>
    </row>
    <row r="17" spans="1:8" s="3" customFormat="1" ht="60" customHeight="1" x14ac:dyDescent="0.3">
      <c r="A17"/>
      <c r="D17" s="40"/>
      <c r="E17" s="41" t="s">
        <v>45</v>
      </c>
      <c r="F17" s="36" t="s">
        <v>75</v>
      </c>
      <c r="G17" s="41" t="s">
        <v>76</v>
      </c>
      <c r="H17" s="38" t="s">
        <v>77</v>
      </c>
    </row>
    <row r="18" spans="1:8" s="3" customFormat="1" ht="60" customHeight="1" x14ac:dyDescent="0.3">
      <c r="A18"/>
      <c r="D18" s="40"/>
      <c r="E18" s="41" t="s">
        <v>45</v>
      </c>
      <c r="F18" s="36" t="s">
        <v>78</v>
      </c>
      <c r="G18" s="41" t="s">
        <v>79</v>
      </c>
      <c r="H18" s="38" t="s">
        <v>80</v>
      </c>
    </row>
    <row r="19" spans="1:8" s="3" customFormat="1" ht="60" customHeight="1" x14ac:dyDescent="0.3">
      <c r="A19"/>
      <c r="D19" s="40"/>
      <c r="E19" s="41" t="s">
        <v>45</v>
      </c>
      <c r="F19" s="36" t="s">
        <v>81</v>
      </c>
      <c r="G19" s="41" t="s">
        <v>82</v>
      </c>
      <c r="H19" s="38" t="s">
        <v>83</v>
      </c>
    </row>
    <row r="20" spans="1:8" customFormat="1" ht="18" x14ac:dyDescent="0.35">
      <c r="B20" s="14"/>
      <c r="C20" s="1"/>
      <c r="D20" s="33" t="s">
        <v>84</v>
      </c>
      <c r="E20" s="60" t="s">
        <v>44</v>
      </c>
      <c r="F20" s="61"/>
      <c r="G20" s="60"/>
      <c r="H20" s="60"/>
    </row>
    <row r="21" spans="1:8" s="3" customFormat="1" ht="60" customHeight="1" x14ac:dyDescent="0.3">
      <c r="A21"/>
      <c r="D21" s="42"/>
      <c r="E21" s="41" t="s">
        <v>45</v>
      </c>
      <c r="F21" s="36" t="s">
        <v>85</v>
      </c>
      <c r="G21" s="41" t="s">
        <v>86</v>
      </c>
      <c r="H21" s="38"/>
    </row>
    <row r="22" spans="1:8" s="3" customFormat="1" ht="60" customHeight="1" x14ac:dyDescent="0.3">
      <c r="A22"/>
      <c r="D22" s="42"/>
      <c r="E22" s="41" t="s">
        <v>45</v>
      </c>
      <c r="F22" s="36" t="s">
        <v>87</v>
      </c>
      <c r="G22" s="41" t="s">
        <v>88</v>
      </c>
      <c r="H22" s="38"/>
    </row>
    <row r="23" spans="1:8" s="3" customFormat="1" ht="60" customHeight="1" x14ac:dyDescent="0.3">
      <c r="A23"/>
      <c r="D23" s="42"/>
      <c r="E23" s="41" t="s">
        <v>45</v>
      </c>
      <c r="F23" s="36" t="s">
        <v>89</v>
      </c>
      <c r="G23" s="41" t="s">
        <v>90</v>
      </c>
      <c r="H23" s="38" t="s">
        <v>91</v>
      </c>
    </row>
    <row r="24" spans="1:8" customFormat="1" ht="18" x14ac:dyDescent="0.35">
      <c r="B24" s="14"/>
      <c r="C24" s="1"/>
      <c r="D24" s="33" t="s">
        <v>92</v>
      </c>
      <c r="E24" s="60" t="s">
        <v>36</v>
      </c>
      <c r="F24" s="61"/>
      <c r="G24" s="60"/>
      <c r="H24" s="60"/>
    </row>
    <row r="25" spans="1:8" s="3" customFormat="1" ht="54" x14ac:dyDescent="0.3">
      <c r="A25"/>
      <c r="D25" s="43"/>
      <c r="E25" s="43" t="s">
        <v>37</v>
      </c>
      <c r="F25" s="36" t="s">
        <v>93</v>
      </c>
      <c r="G25" s="41" t="s">
        <v>94</v>
      </c>
      <c r="H25" s="38"/>
    </row>
    <row r="26" spans="1:8" customFormat="1" ht="18" x14ac:dyDescent="0.35">
      <c r="B26" s="14"/>
      <c r="C26" s="1"/>
      <c r="D26" s="33" t="s">
        <v>95</v>
      </c>
      <c r="E26" s="60" t="s">
        <v>96</v>
      </c>
      <c r="F26" s="61"/>
      <c r="G26" s="60"/>
      <c r="H26" s="60"/>
    </row>
    <row r="27" spans="1:8" s="3" customFormat="1" ht="65.099999999999994" customHeight="1" x14ac:dyDescent="0.3">
      <c r="A27"/>
      <c r="D27" s="44"/>
      <c r="E27" s="43" t="s">
        <v>37</v>
      </c>
      <c r="F27" s="36" t="s">
        <v>97</v>
      </c>
      <c r="G27" s="41" t="s">
        <v>98</v>
      </c>
      <c r="H27" s="38"/>
    </row>
    <row r="28" spans="1:8" s="3" customFormat="1" ht="65.099999999999994" customHeight="1" x14ac:dyDescent="0.3">
      <c r="A28"/>
      <c r="D28" s="44"/>
      <c r="E28" s="43" t="s">
        <v>37</v>
      </c>
      <c r="F28" s="36" t="s">
        <v>99</v>
      </c>
      <c r="G28" s="41" t="s">
        <v>100</v>
      </c>
      <c r="H28" s="38"/>
    </row>
    <row r="29" spans="1:8" s="3" customFormat="1" ht="65.099999999999994" customHeight="1" x14ac:dyDescent="0.3">
      <c r="A29"/>
      <c r="D29" s="44"/>
      <c r="E29" s="43" t="s">
        <v>37</v>
      </c>
      <c r="F29" s="36" t="s">
        <v>101</v>
      </c>
      <c r="G29" s="41" t="s">
        <v>102</v>
      </c>
      <c r="H29" s="38"/>
    </row>
    <row r="30" spans="1:8" s="3" customFormat="1" ht="65.099999999999994" customHeight="1" x14ac:dyDescent="0.3">
      <c r="A30"/>
      <c r="D30" s="44"/>
      <c r="E30" s="43" t="s">
        <v>37</v>
      </c>
      <c r="F30" s="36" t="s">
        <v>103</v>
      </c>
      <c r="G30" s="41" t="s">
        <v>104</v>
      </c>
      <c r="H30" s="38"/>
    </row>
    <row r="31" spans="1:8" s="3" customFormat="1" ht="65.099999999999994" customHeight="1" x14ac:dyDescent="0.3">
      <c r="A31"/>
      <c r="D31" s="44"/>
      <c r="E31" s="43" t="s">
        <v>37</v>
      </c>
      <c r="F31" s="36" t="s">
        <v>105</v>
      </c>
      <c r="G31" s="41" t="s">
        <v>106</v>
      </c>
      <c r="H31" s="38"/>
    </row>
    <row r="32" spans="1:8" s="3" customFormat="1" ht="90" x14ac:dyDescent="0.3">
      <c r="A32"/>
      <c r="D32" s="44"/>
      <c r="E32" s="43" t="s">
        <v>37</v>
      </c>
      <c r="F32" s="36" t="s">
        <v>107</v>
      </c>
      <c r="G32" s="41" t="s">
        <v>108</v>
      </c>
      <c r="H32" s="38"/>
    </row>
    <row r="33" spans="1:8" s="3" customFormat="1" ht="65.099999999999994" customHeight="1" x14ac:dyDescent="0.3">
      <c r="A33"/>
      <c r="D33" s="44"/>
      <c r="E33" s="43" t="s">
        <v>37</v>
      </c>
      <c r="F33" s="36" t="s">
        <v>109</v>
      </c>
      <c r="G33" s="41" t="s">
        <v>110</v>
      </c>
      <c r="H33" s="38"/>
    </row>
    <row r="34" spans="1:8" s="3" customFormat="1" ht="84" customHeight="1" x14ac:dyDescent="0.3">
      <c r="A34"/>
      <c r="D34" s="44"/>
      <c r="E34" s="43" t="s">
        <v>37</v>
      </c>
      <c r="F34" s="36" t="s">
        <v>111</v>
      </c>
      <c r="G34" s="41" t="s">
        <v>112</v>
      </c>
      <c r="H34" s="38"/>
    </row>
    <row r="35" spans="1:8" customFormat="1" ht="18" x14ac:dyDescent="0.35">
      <c r="B35" s="14"/>
      <c r="C35" s="1"/>
      <c r="D35" s="33" t="s">
        <v>113</v>
      </c>
      <c r="E35" s="33"/>
      <c r="F35" s="34"/>
      <c r="G35" s="33"/>
      <c r="H35" s="33"/>
    </row>
    <row r="36" spans="1:8" s="3" customFormat="1" ht="72" x14ac:dyDescent="0.3">
      <c r="A36"/>
      <c r="D36" s="40"/>
      <c r="E36" s="41" t="s">
        <v>37</v>
      </c>
      <c r="F36" s="36" t="s">
        <v>114</v>
      </c>
      <c r="G36" s="41" t="s">
        <v>115</v>
      </c>
      <c r="H36" s="38"/>
    </row>
    <row r="37" spans="1:8" s="3" customFormat="1" ht="126" x14ac:dyDescent="0.3">
      <c r="A37"/>
      <c r="D37" s="40"/>
      <c r="E37" s="41" t="s">
        <v>45</v>
      </c>
      <c r="F37" s="36" t="s">
        <v>116</v>
      </c>
      <c r="G37" s="41" t="s">
        <v>117</v>
      </c>
      <c r="H37" s="38"/>
    </row>
    <row r="38" spans="1:8" s="3" customFormat="1" ht="18" x14ac:dyDescent="0.3">
      <c r="A38"/>
      <c r="D38" s="40"/>
      <c r="E38" s="41"/>
      <c r="F38" s="36"/>
      <c r="G38" s="62" t="s">
        <v>118</v>
      </c>
      <c r="H38" s="38"/>
    </row>
    <row r="39" spans="1:8" s="3" customFormat="1" ht="180" x14ac:dyDescent="0.3">
      <c r="A39"/>
      <c r="D39" s="40"/>
      <c r="E39" s="41" t="s">
        <v>45</v>
      </c>
      <c r="F39" s="36" t="s">
        <v>119</v>
      </c>
      <c r="G39" s="41" t="s">
        <v>120</v>
      </c>
      <c r="H39" s="38"/>
    </row>
    <row r="40" spans="1:8" s="3" customFormat="1" ht="18" x14ac:dyDescent="0.3">
      <c r="A40"/>
      <c r="D40" s="40"/>
      <c r="E40" s="41"/>
      <c r="F40" s="36"/>
      <c r="G40" s="62" t="s">
        <v>118</v>
      </c>
      <c r="H40" s="38"/>
    </row>
    <row r="41" spans="1:8" customFormat="1" ht="18" x14ac:dyDescent="0.35">
      <c r="B41" s="14"/>
      <c r="C41" s="1"/>
      <c r="D41" s="33" t="s">
        <v>121</v>
      </c>
      <c r="E41" s="33"/>
      <c r="F41" s="34"/>
      <c r="G41" s="33"/>
      <c r="H41" s="33"/>
    </row>
    <row r="42" spans="1:8" s="3" customFormat="1" ht="36" x14ac:dyDescent="0.3">
      <c r="A42"/>
      <c r="D42" s="40"/>
      <c r="E42" s="41" t="s">
        <v>37</v>
      </c>
      <c r="F42" s="36" t="s">
        <v>122</v>
      </c>
      <c r="G42" s="41" t="s">
        <v>123</v>
      </c>
      <c r="H42" s="38"/>
    </row>
    <row r="43" spans="1:8" s="3" customFormat="1" ht="18" x14ac:dyDescent="0.3">
      <c r="A43"/>
      <c r="D43" s="40"/>
      <c r="E43" s="41"/>
      <c r="F43" s="36" t="s">
        <v>124</v>
      </c>
      <c r="G43" s="41" t="s">
        <v>50</v>
      </c>
      <c r="H43" s="38"/>
    </row>
    <row r="44" spans="1:8" s="3" customFormat="1" ht="18" x14ac:dyDescent="0.3">
      <c r="A44"/>
      <c r="D44" s="43"/>
      <c r="E44" s="41" t="s">
        <v>37</v>
      </c>
      <c r="F44" s="36" t="s">
        <v>125</v>
      </c>
      <c r="G44" s="41" t="s">
        <v>126</v>
      </c>
      <c r="H44" s="38"/>
    </row>
    <row r="45" spans="1:8" customFormat="1" ht="18" x14ac:dyDescent="0.35">
      <c r="B45" s="14"/>
      <c r="C45" s="1"/>
      <c r="D45" s="33" t="s">
        <v>127</v>
      </c>
      <c r="E45" s="60"/>
      <c r="F45" s="61"/>
      <c r="G45" s="60"/>
      <c r="H45" s="33"/>
    </row>
    <row r="46" spans="1:8" s="3" customFormat="1" ht="36" x14ac:dyDescent="0.3">
      <c r="A46"/>
      <c r="D46" s="40"/>
      <c r="E46" s="41" t="s">
        <v>37</v>
      </c>
      <c r="F46" s="36" t="s">
        <v>128</v>
      </c>
      <c r="G46" s="41" t="s">
        <v>129</v>
      </c>
      <c r="H46" s="38"/>
    </row>
    <row r="47" spans="1:8" s="3" customFormat="1" ht="36" x14ac:dyDescent="0.3">
      <c r="A47"/>
      <c r="D47" s="43"/>
      <c r="E47" s="41" t="s">
        <v>37</v>
      </c>
      <c r="F47" s="36" t="s">
        <v>130</v>
      </c>
      <c r="G47" s="41" t="s">
        <v>131</v>
      </c>
      <c r="H47" s="38"/>
    </row>
    <row r="48" spans="1:8" customFormat="1" ht="18" x14ac:dyDescent="0.35">
      <c r="B48" s="14"/>
      <c r="C48" s="1"/>
      <c r="D48" s="33" t="s">
        <v>132</v>
      </c>
      <c r="E48" s="60"/>
      <c r="F48" s="61"/>
      <c r="G48" s="60"/>
      <c r="H48" s="33"/>
    </row>
    <row r="49" spans="1:8" s="3" customFormat="1" ht="54" x14ac:dyDescent="0.3">
      <c r="A49"/>
      <c r="D49" s="40"/>
      <c r="E49" s="41" t="s">
        <v>37</v>
      </c>
      <c r="F49" s="36" t="s">
        <v>133</v>
      </c>
      <c r="G49" s="41" t="s">
        <v>134</v>
      </c>
      <c r="H49" s="38"/>
    </row>
    <row r="50" spans="1:8" s="3" customFormat="1" ht="36" x14ac:dyDescent="0.3">
      <c r="A50"/>
      <c r="D50" s="40"/>
      <c r="E50" s="41" t="s">
        <v>37</v>
      </c>
      <c r="F50" s="36" t="s">
        <v>135</v>
      </c>
      <c r="G50" s="41" t="s">
        <v>136</v>
      </c>
      <c r="H50" s="38"/>
    </row>
    <row r="51" spans="1:8" s="3" customFormat="1" ht="54" x14ac:dyDescent="0.3">
      <c r="A51"/>
      <c r="D51" s="40"/>
      <c r="E51" s="41" t="s">
        <v>37</v>
      </c>
      <c r="F51" s="36" t="s">
        <v>137</v>
      </c>
      <c r="G51" s="41" t="s">
        <v>138</v>
      </c>
      <c r="H51" s="38"/>
    </row>
    <row r="52" spans="1:8" s="3" customFormat="1" ht="36" x14ac:dyDescent="0.3">
      <c r="A52"/>
      <c r="D52" s="40"/>
      <c r="E52" s="41" t="s">
        <v>37</v>
      </c>
      <c r="F52" s="36" t="s">
        <v>139</v>
      </c>
      <c r="G52" s="41" t="s">
        <v>140</v>
      </c>
      <c r="H52" s="38"/>
    </row>
    <row r="53" spans="1:8" s="3" customFormat="1" ht="36" x14ac:dyDescent="0.3">
      <c r="A53"/>
      <c r="D53" s="40"/>
      <c r="E53" s="41" t="s">
        <v>37</v>
      </c>
      <c r="F53" s="36" t="s">
        <v>141</v>
      </c>
      <c r="G53" s="41" t="s">
        <v>142</v>
      </c>
      <c r="H53" s="38"/>
    </row>
    <row r="54" spans="1:8" s="3" customFormat="1" ht="36" x14ac:dyDescent="0.3">
      <c r="A54"/>
      <c r="D54" s="43"/>
      <c r="E54" s="41" t="s">
        <v>37</v>
      </c>
      <c r="F54" s="36" t="s">
        <v>143</v>
      </c>
      <c r="G54" s="41" t="s">
        <v>144</v>
      </c>
      <c r="H54" s="38"/>
    </row>
    <row r="55" spans="1:8" customFormat="1" ht="18" x14ac:dyDescent="0.35">
      <c r="B55" s="14"/>
      <c r="C55" s="1"/>
      <c r="D55" s="33" t="s">
        <v>145</v>
      </c>
      <c r="E55" s="60"/>
      <c r="F55" s="61"/>
      <c r="G55" s="60"/>
      <c r="H55" s="33"/>
    </row>
    <row r="56" spans="1:8" s="3" customFormat="1" ht="36" x14ac:dyDescent="0.3">
      <c r="A56"/>
      <c r="D56" s="45"/>
      <c r="E56" s="41" t="s">
        <v>45</v>
      </c>
      <c r="F56" s="36" t="s">
        <v>146</v>
      </c>
      <c r="G56" s="41" t="s">
        <v>147</v>
      </c>
      <c r="H56" s="38"/>
    </row>
    <row r="57" spans="1:8" s="3" customFormat="1" ht="72" x14ac:dyDescent="0.3">
      <c r="A57"/>
      <c r="D57" s="45"/>
      <c r="E57" s="41" t="s">
        <v>45</v>
      </c>
      <c r="F57" s="36" t="s">
        <v>148</v>
      </c>
      <c r="G57" s="41" t="s">
        <v>149</v>
      </c>
      <c r="H57" s="38"/>
    </row>
    <row r="58" spans="1:8" s="3" customFormat="1" ht="54" x14ac:dyDescent="0.3">
      <c r="A58"/>
      <c r="D58" s="45"/>
      <c r="E58" s="41" t="s">
        <v>45</v>
      </c>
      <c r="F58" s="36" t="s">
        <v>150</v>
      </c>
      <c r="G58" s="41" t="s">
        <v>151</v>
      </c>
      <c r="H58" s="38"/>
    </row>
    <row r="59" spans="1:8" s="3" customFormat="1" ht="18" x14ac:dyDescent="0.3">
      <c r="A59"/>
      <c r="D59" s="45"/>
      <c r="E59" s="41" t="s">
        <v>45</v>
      </c>
      <c r="F59" s="36" t="s">
        <v>152</v>
      </c>
      <c r="G59" s="41" t="s">
        <v>153</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52"/>
  <sheetViews>
    <sheetView showGridLines="0" tabSelected="1" zoomScale="55" zoomScaleNormal="55" zoomScaleSheetLayoutView="100" workbookViewId="0">
      <pane ySplit="3" topLeftCell="A4" activePane="bottomLeft" state="frozen"/>
      <selection pane="bottomLeft" sqref="A1:D1"/>
    </sheetView>
  </sheetViews>
  <sheetFormatPr defaultColWidth="9.109375" defaultRowHeight="15" customHeight="1" x14ac:dyDescent="0.3"/>
  <cols>
    <col min="1" max="1" width="27.109375" customWidth="1"/>
    <col min="2" max="2" width="28.44140625" customWidth="1"/>
    <col min="3" max="3" width="26.5546875" customWidth="1"/>
    <col min="4" max="4" width="26.44140625" customWidth="1"/>
    <col min="5" max="5" width="26.5546875" customWidth="1"/>
    <col min="6" max="6" width="26.44140625" customWidth="1"/>
    <col min="7" max="7" width="35.5546875" customWidth="1"/>
    <col min="8" max="8" width="21.6640625" customWidth="1"/>
    <col min="9" max="16" width="35.5546875" customWidth="1"/>
    <col min="17" max="18" width="35.5546875" style="49" customWidth="1"/>
    <col min="19" max="19" width="43.33203125" style="49" customWidth="1"/>
    <col min="20" max="20" width="33.5546875" style="80" bestFit="1" customWidth="1"/>
    <col min="21" max="21" width="44.109375" style="49" bestFit="1" customWidth="1"/>
    <col min="22" max="22" width="55.109375" style="49" bestFit="1" customWidth="1"/>
    <col min="23" max="23" width="74.109375" style="49" customWidth="1"/>
    <col min="24" max="24" width="20" style="49" customWidth="1"/>
    <col min="25" max="25" width="22.109375" style="49" customWidth="1"/>
    <col min="26" max="26" width="29.44140625" style="49" customWidth="1"/>
    <col min="27" max="27" width="25.88671875" style="49" customWidth="1"/>
    <col min="28" max="28" width="15.33203125" style="89" customWidth="1"/>
    <col min="29" max="29" width="20" style="86" customWidth="1"/>
    <col min="30" max="30" width="22.44140625" style="49" customWidth="1"/>
    <col min="31" max="31" width="17" style="49" customWidth="1"/>
    <col min="32" max="32" width="17.6640625" style="49" customWidth="1"/>
    <col min="33" max="34" width="17" style="49" customWidth="1"/>
    <col min="35" max="35" width="27.88671875" style="49" customWidth="1"/>
    <col min="36" max="36" width="37.33203125" style="49" customWidth="1"/>
    <col min="37" max="37" width="36.109375" style="49" customWidth="1"/>
    <col min="38" max="38" width="36.6640625" style="49" customWidth="1"/>
    <col min="39" max="39" width="29.33203125" style="49" customWidth="1"/>
    <col min="40" max="40" width="26.109375" style="49" customWidth="1"/>
    <col min="41" max="41" width="27.88671875" style="49" customWidth="1"/>
    <col min="42" max="42" width="26.88671875" style="49" customWidth="1"/>
    <col min="43" max="43" width="31" style="49" customWidth="1"/>
    <col min="44" max="44" width="22.88671875" style="49" bestFit="1" customWidth="1"/>
    <col min="45" max="45" width="22.5546875" style="49" bestFit="1" customWidth="1"/>
    <col min="46" max="46" width="24.44140625" style="49" bestFit="1" customWidth="1"/>
    <col min="47" max="16384" width="9.109375" style="49"/>
  </cols>
  <sheetData>
    <row r="1" spans="1:46" ht="29.4" thickBot="1" x14ac:dyDescent="0.6">
      <c r="A1" s="131" t="s">
        <v>154</v>
      </c>
      <c r="B1" s="131"/>
      <c r="C1" s="131"/>
      <c r="D1" s="131"/>
      <c r="Q1"/>
      <c r="R1"/>
      <c r="S1"/>
      <c r="T1"/>
      <c r="X1" s="80"/>
      <c r="AB1" s="49"/>
      <c r="AC1" s="49"/>
      <c r="AF1" s="89"/>
      <c r="AG1" s="86"/>
    </row>
    <row r="2" spans="1:46" ht="19.2" thickTop="1" thickBot="1" x14ac:dyDescent="0.4">
      <c r="A2" s="66" t="s">
        <v>43</v>
      </c>
      <c r="B2" s="67"/>
      <c r="C2" s="67"/>
      <c r="D2" s="67"/>
      <c r="E2" s="67"/>
      <c r="F2" s="67"/>
      <c r="G2" s="67"/>
      <c r="H2" s="67"/>
      <c r="I2" s="67"/>
      <c r="J2" s="67"/>
      <c r="K2" s="67"/>
      <c r="L2" s="72"/>
      <c r="M2" s="133" t="s">
        <v>155</v>
      </c>
      <c r="N2" s="134"/>
      <c r="O2" s="134"/>
      <c r="P2" s="134"/>
      <c r="Q2" s="138" t="s">
        <v>84</v>
      </c>
      <c r="R2" s="139"/>
      <c r="S2" s="140"/>
      <c r="T2" s="81" t="s">
        <v>156</v>
      </c>
      <c r="U2" s="77" t="s">
        <v>95</v>
      </c>
      <c r="V2" s="83"/>
      <c r="W2" s="83"/>
      <c r="X2" s="83"/>
      <c r="Y2" s="83"/>
      <c r="Z2" s="83"/>
      <c r="AA2" s="83"/>
      <c r="AB2" s="136" t="s">
        <v>113</v>
      </c>
      <c r="AC2" s="136"/>
      <c r="AD2" s="136"/>
      <c r="AE2" s="137"/>
      <c r="AF2" s="68" t="s">
        <v>121</v>
      </c>
      <c r="AG2" s="69"/>
      <c r="AH2" s="70"/>
      <c r="AI2" s="135" t="s">
        <v>127</v>
      </c>
      <c r="AJ2" s="137"/>
      <c r="AK2" s="135" t="s">
        <v>132</v>
      </c>
      <c r="AL2" s="136"/>
      <c r="AM2" s="136"/>
      <c r="AN2" s="136"/>
      <c r="AO2" s="136"/>
      <c r="AP2" s="137"/>
      <c r="AQ2" s="135" t="s">
        <v>145</v>
      </c>
      <c r="AR2" s="136"/>
      <c r="AS2" s="136"/>
      <c r="AT2" s="137"/>
    </row>
    <row r="3" spans="1:46" s="63" customFormat="1" ht="31.8" thickTop="1" x14ac:dyDescent="0.3">
      <c r="A3" s="64" t="s">
        <v>157</v>
      </c>
      <c r="B3" s="64" t="s">
        <v>52</v>
      </c>
      <c r="C3" s="64" t="s">
        <v>158</v>
      </c>
      <c r="D3" s="64" t="s">
        <v>58</v>
      </c>
      <c r="E3" s="64" t="s">
        <v>61</v>
      </c>
      <c r="F3" s="64" t="s">
        <v>63</v>
      </c>
      <c r="G3" s="64" t="s">
        <v>66</v>
      </c>
      <c r="H3" s="64" t="s">
        <v>69</v>
      </c>
      <c r="I3" s="64" t="s">
        <v>72</v>
      </c>
      <c r="J3" s="64" t="s">
        <v>75</v>
      </c>
      <c r="K3" s="64" t="s">
        <v>78</v>
      </c>
      <c r="L3" s="73" t="s">
        <v>81</v>
      </c>
      <c r="M3" s="76" t="s">
        <v>159</v>
      </c>
      <c r="N3" s="76" t="s">
        <v>160</v>
      </c>
      <c r="O3" s="76" t="s">
        <v>161</v>
      </c>
      <c r="P3" s="76" t="s">
        <v>162</v>
      </c>
      <c r="Q3" s="63" t="s">
        <v>85</v>
      </c>
      <c r="R3" s="63" t="s">
        <v>87</v>
      </c>
      <c r="S3" s="85" t="s">
        <v>89</v>
      </c>
      <c r="T3" s="63" t="s">
        <v>163</v>
      </c>
      <c r="U3" s="63" t="s">
        <v>97</v>
      </c>
      <c r="V3" s="63" t="s">
        <v>99</v>
      </c>
      <c r="W3" s="63" t="s">
        <v>101</v>
      </c>
      <c r="X3" s="63" t="s">
        <v>103</v>
      </c>
      <c r="Y3" s="63" t="s">
        <v>105</v>
      </c>
      <c r="Z3" s="63" t="s">
        <v>107</v>
      </c>
      <c r="AA3" s="63" t="s">
        <v>109</v>
      </c>
      <c r="AB3" s="90" t="s">
        <v>111</v>
      </c>
      <c r="AC3" s="87" t="s">
        <v>114</v>
      </c>
      <c r="AD3" s="63" t="s">
        <v>116</v>
      </c>
      <c r="AE3" s="65" t="s">
        <v>119</v>
      </c>
      <c r="AF3" s="63" t="s">
        <v>122</v>
      </c>
      <c r="AG3" s="63" t="s">
        <v>124</v>
      </c>
      <c r="AH3" s="71" t="s">
        <v>125</v>
      </c>
      <c r="AI3" s="63" t="s">
        <v>128</v>
      </c>
      <c r="AJ3" s="71" t="s">
        <v>130</v>
      </c>
      <c r="AK3" s="63" t="s">
        <v>133</v>
      </c>
      <c r="AL3" s="63" t="s">
        <v>135</v>
      </c>
      <c r="AM3" s="63" t="s">
        <v>137</v>
      </c>
      <c r="AN3" s="63" t="s">
        <v>139</v>
      </c>
      <c r="AO3" s="63" t="s">
        <v>141</v>
      </c>
      <c r="AP3" s="65" t="s">
        <v>143</v>
      </c>
      <c r="AQ3" s="63" t="s">
        <v>146</v>
      </c>
      <c r="AR3" s="63" t="s">
        <v>148</v>
      </c>
      <c r="AS3" s="63" t="s">
        <v>150</v>
      </c>
      <c r="AT3" s="63" t="s">
        <v>152</v>
      </c>
    </row>
    <row r="4" spans="1:46" s="78" customFormat="1" ht="28.8" x14ac:dyDescent="0.3">
      <c r="A4" s="121"/>
      <c r="B4" s="121" t="s">
        <v>288</v>
      </c>
      <c r="C4" s="121" t="s">
        <v>289</v>
      </c>
      <c r="D4" s="121" t="s">
        <v>290</v>
      </c>
      <c r="E4" s="121" t="s">
        <v>291</v>
      </c>
      <c r="F4" s="121" t="s">
        <v>166</v>
      </c>
      <c r="G4" s="121" t="s">
        <v>167</v>
      </c>
      <c r="H4" s="121" t="s">
        <v>168</v>
      </c>
      <c r="I4" s="121">
        <v>40</v>
      </c>
      <c r="J4" s="121"/>
      <c r="K4" s="121"/>
      <c r="L4" s="121" t="s">
        <v>292</v>
      </c>
      <c r="M4" s="121" t="s">
        <v>173</v>
      </c>
      <c r="N4" s="121" t="s">
        <v>174</v>
      </c>
      <c r="O4" s="121" t="s">
        <v>175</v>
      </c>
      <c r="P4" s="121" t="s">
        <v>176</v>
      </c>
      <c r="Q4" s="121"/>
      <c r="R4" s="121"/>
      <c r="S4" s="104"/>
      <c r="T4" s="98" t="s">
        <v>164</v>
      </c>
      <c r="U4" s="105" t="s">
        <v>165</v>
      </c>
      <c r="V4" s="105" t="s">
        <v>166</v>
      </c>
      <c r="W4" s="104" t="s">
        <v>167</v>
      </c>
      <c r="X4" s="107" t="s">
        <v>168</v>
      </c>
      <c r="Y4" s="108">
        <v>40</v>
      </c>
      <c r="Z4" s="105"/>
      <c r="AA4" s="105"/>
      <c r="AB4" s="109" t="s">
        <v>169</v>
      </c>
      <c r="AC4" s="110">
        <v>70893</v>
      </c>
      <c r="AD4" s="105"/>
      <c r="AE4" s="105"/>
      <c r="AF4" s="105" t="s">
        <v>170</v>
      </c>
      <c r="AG4" s="105" t="s">
        <v>170</v>
      </c>
      <c r="AH4" s="105" t="s">
        <v>170</v>
      </c>
      <c r="AI4" s="113" t="s">
        <v>171</v>
      </c>
      <c r="AJ4" s="104" t="s">
        <v>172</v>
      </c>
      <c r="AK4" s="95" t="s">
        <v>173</v>
      </c>
      <c r="AL4" s="95" t="s">
        <v>174</v>
      </c>
      <c r="AM4" s="94" t="s">
        <v>175</v>
      </c>
      <c r="AN4" s="95" t="s">
        <v>176</v>
      </c>
      <c r="AO4" s="96" t="s">
        <v>177</v>
      </c>
      <c r="AP4" s="97" t="s">
        <v>178</v>
      </c>
      <c r="AQ4" s="105"/>
      <c r="AR4" s="105"/>
      <c r="AS4" s="105"/>
      <c r="AT4" s="105"/>
    </row>
    <row r="5" spans="1:46" s="78" customFormat="1" ht="28.8" x14ac:dyDescent="0.3">
      <c r="A5" s="121"/>
      <c r="B5" s="121" t="s">
        <v>288</v>
      </c>
      <c r="C5" s="121" t="s">
        <v>289</v>
      </c>
      <c r="D5" s="121" t="s">
        <v>290</v>
      </c>
      <c r="E5" s="121" t="s">
        <v>293</v>
      </c>
      <c r="F5" s="121" t="s">
        <v>180</v>
      </c>
      <c r="G5" s="121" t="s">
        <v>181</v>
      </c>
      <c r="H5" s="121" t="s">
        <v>168</v>
      </c>
      <c r="I5" s="121">
        <v>50</v>
      </c>
      <c r="J5" s="121"/>
      <c r="K5" s="121"/>
      <c r="L5" s="121" t="s">
        <v>292</v>
      </c>
      <c r="M5" s="121" t="s">
        <v>184</v>
      </c>
      <c r="N5" s="121" t="s">
        <v>185</v>
      </c>
      <c r="O5" s="122" t="s">
        <v>186</v>
      </c>
      <c r="P5" s="122" t="s">
        <v>186</v>
      </c>
      <c r="Q5" s="121"/>
      <c r="R5" s="121"/>
      <c r="S5" s="104"/>
      <c r="T5" s="98" t="s">
        <v>164</v>
      </c>
      <c r="U5" s="99" t="s">
        <v>179</v>
      </c>
      <c r="V5" s="99" t="s">
        <v>180</v>
      </c>
      <c r="W5" s="111" t="s">
        <v>181</v>
      </c>
      <c r="X5" s="111" t="s">
        <v>168</v>
      </c>
      <c r="Y5" s="112">
        <v>50</v>
      </c>
      <c r="Z5" s="105"/>
      <c r="AA5" s="105"/>
      <c r="AB5" s="109" t="s">
        <v>182</v>
      </c>
      <c r="AC5" s="110">
        <v>70775</v>
      </c>
      <c r="AD5" s="105"/>
      <c r="AE5" s="105"/>
      <c r="AF5" s="105" t="s">
        <v>170</v>
      </c>
      <c r="AG5" s="105" t="s">
        <v>170</v>
      </c>
      <c r="AH5" s="105" t="s">
        <v>170</v>
      </c>
      <c r="AI5" s="113" t="s">
        <v>171</v>
      </c>
      <c r="AJ5" s="104" t="s">
        <v>183</v>
      </c>
      <c r="AK5" s="98" t="s">
        <v>184</v>
      </c>
      <c r="AL5" s="98" t="s">
        <v>185</v>
      </c>
      <c r="AM5" s="100" t="s">
        <v>186</v>
      </c>
      <c r="AN5" s="100" t="s">
        <v>186</v>
      </c>
      <c r="AO5" s="100" t="s">
        <v>186</v>
      </c>
      <c r="AP5" s="100" t="s">
        <v>186</v>
      </c>
      <c r="AQ5" s="105"/>
      <c r="AR5" s="105"/>
      <c r="AS5" s="105"/>
      <c r="AT5" s="105"/>
    </row>
    <row r="6" spans="1:46" s="78" customFormat="1" ht="14.4" x14ac:dyDescent="0.3">
      <c r="A6" s="121"/>
      <c r="B6" s="121" t="s">
        <v>288</v>
      </c>
      <c r="C6" s="121" t="s">
        <v>289</v>
      </c>
      <c r="D6" s="121" t="s">
        <v>294</v>
      </c>
      <c r="E6" s="121" t="s">
        <v>188</v>
      </c>
      <c r="F6" s="121" t="s">
        <v>188</v>
      </c>
      <c r="G6" s="121" t="s">
        <v>189</v>
      </c>
      <c r="H6" s="121" t="s">
        <v>190</v>
      </c>
      <c r="I6" s="121" t="s">
        <v>295</v>
      </c>
      <c r="J6" s="121"/>
      <c r="K6" s="121"/>
      <c r="L6" s="121" t="s">
        <v>292</v>
      </c>
      <c r="M6" s="121" t="s">
        <v>184</v>
      </c>
      <c r="N6" s="121" t="s">
        <v>193</v>
      </c>
      <c r="O6" s="122" t="s">
        <v>186</v>
      </c>
      <c r="P6" s="122" t="s">
        <v>186</v>
      </c>
      <c r="Q6" s="121"/>
      <c r="R6" s="121"/>
      <c r="S6" s="104"/>
      <c r="T6" s="98" t="s">
        <v>164</v>
      </c>
      <c r="U6" s="99" t="s">
        <v>187</v>
      </c>
      <c r="V6" s="99" t="s">
        <v>188</v>
      </c>
      <c r="W6" s="111" t="s">
        <v>189</v>
      </c>
      <c r="X6" s="113" t="s">
        <v>190</v>
      </c>
      <c r="Y6" s="112"/>
      <c r="Z6" s="111"/>
      <c r="AA6" s="99"/>
      <c r="AB6" s="109" t="s">
        <v>191</v>
      </c>
      <c r="AC6" s="110">
        <v>70995</v>
      </c>
      <c r="AD6" s="105"/>
      <c r="AE6" s="105"/>
      <c r="AF6" s="105" t="s">
        <v>170</v>
      </c>
      <c r="AG6" s="105" t="s">
        <v>170</v>
      </c>
      <c r="AH6" s="105" t="s">
        <v>170</v>
      </c>
      <c r="AI6" s="105" t="s">
        <v>192</v>
      </c>
      <c r="AJ6" s="105" t="s">
        <v>188</v>
      </c>
      <c r="AK6" s="92" t="s">
        <v>184</v>
      </c>
      <c r="AL6" s="92" t="s">
        <v>193</v>
      </c>
      <c r="AM6" s="100" t="s">
        <v>186</v>
      </c>
      <c r="AN6" s="100" t="s">
        <v>186</v>
      </c>
      <c r="AO6" s="100" t="s">
        <v>186</v>
      </c>
      <c r="AP6" s="100" t="s">
        <v>186</v>
      </c>
      <c r="AQ6" s="105"/>
      <c r="AR6" s="105"/>
      <c r="AS6" s="105"/>
      <c r="AT6" s="105"/>
    </row>
    <row r="7" spans="1:46" s="78" customFormat="1" ht="28.8" x14ac:dyDescent="0.3">
      <c r="A7" s="121"/>
      <c r="B7" s="121" t="s">
        <v>288</v>
      </c>
      <c r="C7" s="121" t="s">
        <v>289</v>
      </c>
      <c r="D7" s="121" t="s">
        <v>290</v>
      </c>
      <c r="E7" s="121" t="s">
        <v>199</v>
      </c>
      <c r="F7" s="121" t="s">
        <v>195</v>
      </c>
      <c r="G7" s="121" t="s">
        <v>196</v>
      </c>
      <c r="H7" s="121" t="s">
        <v>197</v>
      </c>
      <c r="I7" s="121" t="s">
        <v>295</v>
      </c>
      <c r="J7" s="121"/>
      <c r="K7" s="121"/>
      <c r="L7" s="121" t="s">
        <v>292</v>
      </c>
      <c r="M7" s="122" t="s">
        <v>186</v>
      </c>
      <c r="N7" s="122" t="s">
        <v>186</v>
      </c>
      <c r="O7" s="122" t="s">
        <v>186</v>
      </c>
      <c r="P7" s="122" t="s">
        <v>186</v>
      </c>
      <c r="Q7" s="121"/>
      <c r="R7" s="121"/>
      <c r="S7" s="104"/>
      <c r="T7" s="98" t="s">
        <v>164</v>
      </c>
      <c r="U7" s="99" t="s">
        <v>194</v>
      </c>
      <c r="V7" s="99" t="s">
        <v>195</v>
      </c>
      <c r="W7" s="114" t="s">
        <v>196</v>
      </c>
      <c r="X7" s="113" t="s">
        <v>197</v>
      </c>
      <c r="Y7" s="112"/>
      <c r="Z7" s="111"/>
      <c r="AA7" s="99"/>
      <c r="AB7" s="109" t="s">
        <v>198</v>
      </c>
      <c r="AC7" s="114">
        <v>71747</v>
      </c>
      <c r="AD7" s="105"/>
      <c r="AE7" s="105"/>
      <c r="AF7" s="105" t="s">
        <v>170</v>
      </c>
      <c r="AG7" s="105" t="s">
        <v>170</v>
      </c>
      <c r="AH7" s="105" t="s">
        <v>170</v>
      </c>
      <c r="AI7" s="105" t="s">
        <v>192</v>
      </c>
      <c r="AJ7" s="105" t="s">
        <v>199</v>
      </c>
      <c r="AK7" s="100" t="s">
        <v>186</v>
      </c>
      <c r="AL7" s="100" t="s">
        <v>186</v>
      </c>
      <c r="AM7" s="100" t="s">
        <v>186</v>
      </c>
      <c r="AN7" s="100" t="s">
        <v>186</v>
      </c>
      <c r="AO7" s="100" t="s">
        <v>186</v>
      </c>
      <c r="AP7" s="100" t="s">
        <v>186</v>
      </c>
      <c r="AQ7" s="105"/>
      <c r="AR7" s="105"/>
      <c r="AS7" s="105"/>
      <c r="AT7" s="105"/>
    </row>
    <row r="8" spans="1:46" s="78" customFormat="1" ht="28.8" x14ac:dyDescent="0.3">
      <c r="A8" s="121"/>
      <c r="B8" s="121" t="s">
        <v>288</v>
      </c>
      <c r="C8" s="121" t="s">
        <v>289</v>
      </c>
      <c r="D8" s="121" t="s">
        <v>290</v>
      </c>
      <c r="E8" s="121" t="s">
        <v>203</v>
      </c>
      <c r="F8" s="121" t="s">
        <v>200</v>
      </c>
      <c r="G8" s="121" t="s">
        <v>201</v>
      </c>
      <c r="H8" s="121" t="s">
        <v>197</v>
      </c>
      <c r="I8" s="121" t="s">
        <v>295</v>
      </c>
      <c r="J8" s="121"/>
      <c r="K8" s="121"/>
      <c r="L8" s="121" t="s">
        <v>292</v>
      </c>
      <c r="M8" s="122" t="s">
        <v>186</v>
      </c>
      <c r="N8" s="122" t="s">
        <v>186</v>
      </c>
      <c r="O8" s="122" t="s">
        <v>186</v>
      </c>
      <c r="P8" s="122" t="s">
        <v>186</v>
      </c>
      <c r="Q8" s="121"/>
      <c r="R8" s="121"/>
      <c r="S8" s="104"/>
      <c r="T8" s="98" t="s">
        <v>164</v>
      </c>
      <c r="U8" s="99" t="s">
        <v>194</v>
      </c>
      <c r="V8" s="99" t="s">
        <v>200</v>
      </c>
      <c r="W8" s="111" t="s">
        <v>201</v>
      </c>
      <c r="X8" s="113" t="s">
        <v>197</v>
      </c>
      <c r="Y8" s="112"/>
      <c r="Z8" s="111"/>
      <c r="AA8" s="99"/>
      <c r="AB8" s="109" t="s">
        <v>202</v>
      </c>
      <c r="AC8" s="114">
        <v>71750</v>
      </c>
      <c r="AD8" s="105"/>
      <c r="AE8" s="105"/>
      <c r="AF8" s="105" t="s">
        <v>170</v>
      </c>
      <c r="AG8" s="105" t="s">
        <v>170</v>
      </c>
      <c r="AH8" s="105" t="s">
        <v>170</v>
      </c>
      <c r="AI8" s="105" t="s">
        <v>192</v>
      </c>
      <c r="AJ8" s="105" t="s">
        <v>203</v>
      </c>
      <c r="AK8" s="100" t="s">
        <v>186</v>
      </c>
      <c r="AL8" s="100" t="s">
        <v>186</v>
      </c>
      <c r="AM8" s="100" t="s">
        <v>186</v>
      </c>
      <c r="AN8" s="100" t="s">
        <v>186</v>
      </c>
      <c r="AO8" s="100" t="s">
        <v>186</v>
      </c>
      <c r="AP8" s="100" t="s">
        <v>186</v>
      </c>
      <c r="AQ8" s="105"/>
      <c r="AR8" s="105"/>
      <c r="AS8" s="105"/>
      <c r="AT8" s="105"/>
    </row>
    <row r="9" spans="1:46" s="78" customFormat="1" ht="28.8" x14ac:dyDescent="0.3">
      <c r="A9" s="121"/>
      <c r="B9" s="121" t="s">
        <v>288</v>
      </c>
      <c r="C9" s="121" t="s">
        <v>289</v>
      </c>
      <c r="D9" s="121"/>
      <c r="E9" s="121" t="s">
        <v>296</v>
      </c>
      <c r="F9" s="121" t="s">
        <v>205</v>
      </c>
      <c r="G9" s="121" t="s">
        <v>206</v>
      </c>
      <c r="H9" s="121" t="s">
        <v>207</v>
      </c>
      <c r="I9" s="121" t="s">
        <v>295</v>
      </c>
      <c r="J9" s="121"/>
      <c r="K9" s="121"/>
      <c r="L9" s="121" t="s">
        <v>292</v>
      </c>
      <c r="M9" s="100" t="s">
        <v>186</v>
      </c>
      <c r="N9" s="100" t="s">
        <v>186</v>
      </c>
      <c r="O9" s="122" t="s">
        <v>186</v>
      </c>
      <c r="P9" s="122" t="s">
        <v>186</v>
      </c>
      <c r="Q9" s="121"/>
      <c r="R9" s="121"/>
      <c r="S9" s="104"/>
      <c r="T9" s="98" t="s">
        <v>164</v>
      </c>
      <c r="U9" s="105" t="s">
        <v>204</v>
      </c>
      <c r="V9" s="105" t="s">
        <v>205</v>
      </c>
      <c r="W9" s="104" t="s">
        <v>206</v>
      </c>
      <c r="X9" s="107" t="s">
        <v>207</v>
      </c>
      <c r="Y9" s="107"/>
      <c r="Z9" s="105"/>
      <c r="AA9" s="105"/>
      <c r="AB9" s="109" t="s">
        <v>208</v>
      </c>
      <c r="AC9" s="110">
        <v>70847</v>
      </c>
      <c r="AD9" s="105"/>
      <c r="AE9" s="105"/>
      <c r="AF9" s="105" t="s">
        <v>170</v>
      </c>
      <c r="AG9" s="105" t="s">
        <v>170</v>
      </c>
      <c r="AH9" s="105" t="s">
        <v>170</v>
      </c>
      <c r="AI9" s="113" t="s">
        <v>171</v>
      </c>
      <c r="AJ9" s="113" t="s">
        <v>209</v>
      </c>
      <c r="AK9" s="100" t="s">
        <v>186</v>
      </c>
      <c r="AL9" s="100" t="s">
        <v>186</v>
      </c>
      <c r="AM9" s="100" t="s">
        <v>186</v>
      </c>
      <c r="AN9" s="100" t="s">
        <v>186</v>
      </c>
      <c r="AO9" s="98" t="s">
        <v>177</v>
      </c>
      <c r="AP9" s="99" t="s">
        <v>210</v>
      </c>
      <c r="AQ9" s="105"/>
      <c r="AR9" s="105"/>
      <c r="AS9" s="105"/>
      <c r="AT9" s="105"/>
    </row>
    <row r="10" spans="1:46" s="78" customFormat="1" ht="28.8" x14ac:dyDescent="0.3">
      <c r="A10" s="121"/>
      <c r="B10" s="121" t="s">
        <v>288</v>
      </c>
      <c r="C10" s="121" t="s">
        <v>289</v>
      </c>
      <c r="D10" s="121" t="s">
        <v>294</v>
      </c>
      <c r="E10" s="121" t="s">
        <v>297</v>
      </c>
      <c r="F10" s="121" t="s">
        <v>212</v>
      </c>
      <c r="G10" s="121" t="s">
        <v>213</v>
      </c>
      <c r="H10" s="121" t="s">
        <v>295</v>
      </c>
      <c r="I10" s="121" t="s">
        <v>295</v>
      </c>
      <c r="J10" s="121" t="s">
        <v>298</v>
      </c>
      <c r="K10" s="121" t="s">
        <v>298</v>
      </c>
      <c r="L10" s="121" t="s">
        <v>292</v>
      </c>
      <c r="M10" s="123" t="s">
        <v>218</v>
      </c>
      <c r="N10" s="121" t="s">
        <v>219</v>
      </c>
      <c r="O10" s="121" t="s">
        <v>175</v>
      </c>
      <c r="P10" s="121" t="s">
        <v>220</v>
      </c>
      <c r="Q10" s="121" t="s">
        <v>299</v>
      </c>
      <c r="R10" s="121"/>
      <c r="S10" s="104"/>
      <c r="T10" s="98" t="s">
        <v>164</v>
      </c>
      <c r="U10" s="98" t="s">
        <v>211</v>
      </c>
      <c r="V10" s="105" t="s">
        <v>212</v>
      </c>
      <c r="W10" s="104" t="s">
        <v>213</v>
      </c>
      <c r="X10" s="105"/>
      <c r="Y10" s="105"/>
      <c r="Z10" s="115" t="s">
        <v>214</v>
      </c>
      <c r="AA10" s="105" t="s">
        <v>214</v>
      </c>
      <c r="AB10" s="116">
        <v>193</v>
      </c>
      <c r="AC10" s="115" t="s">
        <v>215</v>
      </c>
      <c r="AD10" s="105"/>
      <c r="AE10" s="105"/>
      <c r="AF10" s="105" t="s">
        <v>170</v>
      </c>
      <c r="AG10" s="105" t="s">
        <v>170</v>
      </c>
      <c r="AH10" s="105" t="s">
        <v>170</v>
      </c>
      <c r="AI10" s="98" t="s">
        <v>216</v>
      </c>
      <c r="AJ10" s="105" t="s">
        <v>217</v>
      </c>
      <c r="AK10" s="105" t="s">
        <v>218</v>
      </c>
      <c r="AL10" s="105" t="s">
        <v>219</v>
      </c>
      <c r="AM10" s="113" t="s">
        <v>175</v>
      </c>
      <c r="AN10" s="105" t="s">
        <v>220</v>
      </c>
      <c r="AO10" s="100" t="s">
        <v>186</v>
      </c>
      <c r="AP10" s="100" t="s">
        <v>186</v>
      </c>
      <c r="AQ10" s="105"/>
      <c r="AR10" s="105"/>
      <c r="AS10" s="105"/>
      <c r="AT10" s="105"/>
    </row>
    <row r="11" spans="1:46" s="79" customFormat="1" ht="28.8" x14ac:dyDescent="0.3">
      <c r="A11" s="121"/>
      <c r="B11" s="121" t="s">
        <v>288</v>
      </c>
      <c r="C11" s="121" t="s">
        <v>289</v>
      </c>
      <c r="D11" s="121" t="s">
        <v>294</v>
      </c>
      <c r="E11" s="121" t="s">
        <v>297</v>
      </c>
      <c r="F11" s="121" t="s">
        <v>212</v>
      </c>
      <c r="G11" s="121" t="s">
        <v>213</v>
      </c>
      <c r="H11" s="121" t="s">
        <v>295</v>
      </c>
      <c r="I11" s="121" t="s">
        <v>295</v>
      </c>
      <c r="J11" s="121"/>
      <c r="K11" s="121"/>
      <c r="L11" s="121" t="s">
        <v>292</v>
      </c>
      <c r="M11" s="123" t="s">
        <v>218</v>
      </c>
      <c r="N11" s="121" t="s">
        <v>219</v>
      </c>
      <c r="O11" s="121" t="s">
        <v>175</v>
      </c>
      <c r="P11" s="121" t="s">
        <v>220</v>
      </c>
      <c r="Q11" s="121"/>
      <c r="R11" s="121"/>
      <c r="S11" s="104"/>
      <c r="T11" s="98" t="s">
        <v>164</v>
      </c>
      <c r="U11" s="98" t="s">
        <v>211</v>
      </c>
      <c r="V11" s="105" t="s">
        <v>212</v>
      </c>
      <c r="W11" s="104" t="s">
        <v>213</v>
      </c>
      <c r="X11" s="105"/>
      <c r="Y11" s="105"/>
      <c r="Z11" s="115" t="s">
        <v>221</v>
      </c>
      <c r="AA11" s="105" t="s">
        <v>221</v>
      </c>
      <c r="AB11" s="116">
        <v>193</v>
      </c>
      <c r="AC11" s="115" t="s">
        <v>215</v>
      </c>
      <c r="AD11" s="105"/>
      <c r="AE11" s="105"/>
      <c r="AF11" s="105" t="s">
        <v>170</v>
      </c>
      <c r="AG11" s="105" t="s">
        <v>170</v>
      </c>
      <c r="AH11" s="105" t="s">
        <v>170</v>
      </c>
      <c r="AI11" s="98" t="s">
        <v>216</v>
      </c>
      <c r="AJ11" s="105" t="s">
        <v>217</v>
      </c>
      <c r="AK11" s="105" t="s">
        <v>218</v>
      </c>
      <c r="AL11" s="105" t="s">
        <v>219</v>
      </c>
      <c r="AM11" s="113" t="s">
        <v>175</v>
      </c>
      <c r="AN11" s="105" t="s">
        <v>220</v>
      </c>
      <c r="AO11" s="100" t="s">
        <v>186</v>
      </c>
      <c r="AP11" s="100" t="s">
        <v>186</v>
      </c>
      <c r="AQ11" s="105"/>
      <c r="AR11" s="105"/>
      <c r="AS11" s="105"/>
      <c r="AT11" s="105"/>
    </row>
    <row r="12" spans="1:46" s="79" customFormat="1" ht="28.8" x14ac:dyDescent="0.3">
      <c r="A12" s="121"/>
      <c r="B12" s="121" t="s">
        <v>288</v>
      </c>
      <c r="C12" s="121" t="s">
        <v>289</v>
      </c>
      <c r="D12" s="121" t="s">
        <v>294</v>
      </c>
      <c r="E12" s="78" t="s">
        <v>297</v>
      </c>
      <c r="F12" s="121" t="s">
        <v>212</v>
      </c>
      <c r="G12" s="121" t="s">
        <v>213</v>
      </c>
      <c r="H12" s="121" t="s">
        <v>295</v>
      </c>
      <c r="I12" s="121" t="s">
        <v>295</v>
      </c>
      <c r="J12" s="121"/>
      <c r="K12" s="121"/>
      <c r="L12" s="121" t="s">
        <v>292</v>
      </c>
      <c r="M12" s="123" t="s">
        <v>218</v>
      </c>
      <c r="N12" s="121" t="s">
        <v>219</v>
      </c>
      <c r="O12" s="121" t="s">
        <v>175</v>
      </c>
      <c r="P12" s="121" t="s">
        <v>220</v>
      </c>
      <c r="Q12" s="121"/>
      <c r="R12" s="121"/>
      <c r="S12" s="104"/>
      <c r="T12" s="98" t="s">
        <v>164</v>
      </c>
      <c r="U12" s="98" t="s">
        <v>211</v>
      </c>
      <c r="V12" s="105" t="s">
        <v>212</v>
      </c>
      <c r="W12" s="104" t="s">
        <v>213</v>
      </c>
      <c r="X12" s="105"/>
      <c r="Y12" s="105"/>
      <c r="Z12" s="105" t="s">
        <v>222</v>
      </c>
      <c r="AA12" s="105" t="s">
        <v>222</v>
      </c>
      <c r="AB12" s="116">
        <v>193</v>
      </c>
      <c r="AC12" s="115" t="s">
        <v>215</v>
      </c>
      <c r="AD12" s="105"/>
      <c r="AE12" s="105"/>
      <c r="AF12" s="105" t="s">
        <v>170</v>
      </c>
      <c r="AG12" s="105" t="s">
        <v>170</v>
      </c>
      <c r="AH12" s="105" t="s">
        <v>170</v>
      </c>
      <c r="AI12" s="98" t="s">
        <v>216</v>
      </c>
      <c r="AJ12" s="105" t="s">
        <v>217</v>
      </c>
      <c r="AK12" s="105" t="s">
        <v>218</v>
      </c>
      <c r="AL12" s="105" t="s">
        <v>219</v>
      </c>
      <c r="AM12" s="113" t="s">
        <v>175</v>
      </c>
      <c r="AN12" s="105" t="s">
        <v>220</v>
      </c>
      <c r="AO12" s="100" t="s">
        <v>186</v>
      </c>
      <c r="AP12" s="100" t="s">
        <v>186</v>
      </c>
      <c r="AQ12" s="105"/>
      <c r="AR12" s="105"/>
      <c r="AS12" s="105"/>
      <c r="AT12" s="105"/>
    </row>
    <row r="13" spans="1:46" s="79" customFormat="1" ht="57.6" x14ac:dyDescent="0.3">
      <c r="A13" s="121"/>
      <c r="B13" s="121" t="s">
        <v>288</v>
      </c>
      <c r="C13" s="121" t="s">
        <v>289</v>
      </c>
      <c r="D13" s="124" t="s">
        <v>300</v>
      </c>
      <c r="E13" s="125" t="str">
        <f t="shared" ref="E13:E23" si="0">_xlfn.CONCAT("MISSING",CHAR(13),CHAR(10),V13)</f>
        <v>MISSING_x000D_
Neglected or Delinquent Academic Achievement Indicator</v>
      </c>
      <c r="F13" s="78" t="s">
        <v>223</v>
      </c>
      <c r="G13" s="121" t="s">
        <v>224</v>
      </c>
      <c r="H13" s="121" t="s">
        <v>295</v>
      </c>
      <c r="I13" s="121" t="s">
        <v>295</v>
      </c>
      <c r="J13" s="121"/>
      <c r="K13" s="121"/>
      <c r="L13" s="121" t="s">
        <v>292</v>
      </c>
      <c r="M13" s="123" t="s">
        <v>218</v>
      </c>
      <c r="N13" s="121" t="s">
        <v>227</v>
      </c>
      <c r="O13" s="121" t="s">
        <v>175</v>
      </c>
      <c r="P13" s="121" t="s">
        <v>220</v>
      </c>
      <c r="Q13" s="121"/>
      <c r="R13" s="121"/>
      <c r="S13" s="104"/>
      <c r="T13" s="98" t="s">
        <v>164</v>
      </c>
      <c r="U13" s="98" t="s">
        <v>211</v>
      </c>
      <c r="V13" s="105" t="s">
        <v>223</v>
      </c>
      <c r="W13" s="104" t="s">
        <v>224</v>
      </c>
      <c r="X13" s="105"/>
      <c r="Y13" s="105"/>
      <c r="Z13" s="105" t="s">
        <v>214</v>
      </c>
      <c r="AA13" s="105" t="s">
        <v>214</v>
      </c>
      <c r="AB13" s="116">
        <v>635</v>
      </c>
      <c r="AC13" s="115" t="s">
        <v>225</v>
      </c>
      <c r="AD13" s="105"/>
      <c r="AE13" s="105"/>
      <c r="AF13" s="105" t="s">
        <v>170</v>
      </c>
      <c r="AG13" s="105" t="s">
        <v>170</v>
      </c>
      <c r="AH13" s="105" t="s">
        <v>170</v>
      </c>
      <c r="AI13" s="98" t="s">
        <v>216</v>
      </c>
      <c r="AJ13" s="105" t="s">
        <v>226</v>
      </c>
      <c r="AK13" s="105" t="s">
        <v>218</v>
      </c>
      <c r="AL13" s="105" t="s">
        <v>227</v>
      </c>
      <c r="AM13" s="113" t="s">
        <v>175</v>
      </c>
      <c r="AN13" s="105" t="s">
        <v>220</v>
      </c>
      <c r="AO13" s="100" t="s">
        <v>186</v>
      </c>
      <c r="AP13" s="100" t="s">
        <v>186</v>
      </c>
      <c r="AQ13" s="105"/>
      <c r="AR13" s="105"/>
      <c r="AS13" s="105"/>
      <c r="AT13" s="105"/>
    </row>
    <row r="14" spans="1:46" s="79" customFormat="1" ht="57.6" x14ac:dyDescent="0.3">
      <c r="A14" s="121"/>
      <c r="B14" s="121" t="s">
        <v>288</v>
      </c>
      <c r="C14" s="121" t="s">
        <v>289</v>
      </c>
      <c r="D14" s="124" t="s">
        <v>300</v>
      </c>
      <c r="E14" s="125" t="str">
        <f t="shared" si="0"/>
        <v>MISSING_x000D_
Neglected or Delinquent Academic Achievement Indicator</v>
      </c>
      <c r="F14" s="78" t="s">
        <v>223</v>
      </c>
      <c r="G14" s="121" t="s">
        <v>224</v>
      </c>
      <c r="H14" s="121" t="s">
        <v>295</v>
      </c>
      <c r="I14" s="121" t="s">
        <v>295</v>
      </c>
      <c r="J14" s="121"/>
      <c r="K14" s="121"/>
      <c r="L14" s="121" t="s">
        <v>292</v>
      </c>
      <c r="M14" s="123" t="s">
        <v>218</v>
      </c>
      <c r="N14" s="121" t="s">
        <v>227</v>
      </c>
      <c r="O14" s="121" t="s">
        <v>175</v>
      </c>
      <c r="P14" s="121" t="s">
        <v>220</v>
      </c>
      <c r="Q14" s="121"/>
      <c r="R14" s="121"/>
      <c r="S14" s="104"/>
      <c r="T14" s="98" t="s">
        <v>164</v>
      </c>
      <c r="U14" s="98" t="s">
        <v>211</v>
      </c>
      <c r="V14" s="105" t="s">
        <v>223</v>
      </c>
      <c r="W14" s="104" t="s">
        <v>224</v>
      </c>
      <c r="X14" s="105"/>
      <c r="Y14" s="105"/>
      <c r="Z14" s="105" t="s">
        <v>221</v>
      </c>
      <c r="AA14" s="105" t="s">
        <v>221</v>
      </c>
      <c r="AB14" s="116">
        <v>635</v>
      </c>
      <c r="AC14" s="115" t="s">
        <v>225</v>
      </c>
      <c r="AD14" s="105"/>
      <c r="AE14" s="105"/>
      <c r="AF14" s="105" t="s">
        <v>170</v>
      </c>
      <c r="AG14" s="105" t="s">
        <v>170</v>
      </c>
      <c r="AH14" s="105" t="s">
        <v>170</v>
      </c>
      <c r="AI14" s="98" t="s">
        <v>216</v>
      </c>
      <c r="AJ14" s="105" t="s">
        <v>226</v>
      </c>
      <c r="AK14" s="105" t="s">
        <v>218</v>
      </c>
      <c r="AL14" s="105" t="s">
        <v>227</v>
      </c>
      <c r="AM14" s="113" t="s">
        <v>175</v>
      </c>
      <c r="AN14" s="105" t="s">
        <v>220</v>
      </c>
      <c r="AO14" s="100" t="s">
        <v>186</v>
      </c>
      <c r="AP14" s="100" t="s">
        <v>186</v>
      </c>
      <c r="AQ14" s="105"/>
      <c r="AR14" s="105"/>
      <c r="AS14" s="105"/>
      <c r="AT14" s="105"/>
    </row>
    <row r="15" spans="1:46" s="79" customFormat="1" ht="28.8" x14ac:dyDescent="0.3">
      <c r="A15" s="121"/>
      <c r="B15" s="121" t="s">
        <v>288</v>
      </c>
      <c r="C15" s="121" t="s">
        <v>289</v>
      </c>
      <c r="D15" s="124" t="s">
        <v>300</v>
      </c>
      <c r="E15" s="125" t="str">
        <f t="shared" si="0"/>
        <v>MISSING_x000D_
Assessment Academic Subject</v>
      </c>
      <c r="F15" s="78" t="s">
        <v>229</v>
      </c>
      <c r="G15" s="121" t="s">
        <v>230</v>
      </c>
      <c r="H15" s="121" t="s">
        <v>295</v>
      </c>
      <c r="I15" s="121" t="s">
        <v>295</v>
      </c>
      <c r="J15" s="121"/>
      <c r="K15" s="121"/>
      <c r="L15" s="121" t="s">
        <v>292</v>
      </c>
      <c r="M15" s="123" t="s">
        <v>235</v>
      </c>
      <c r="N15" s="121" t="s">
        <v>236</v>
      </c>
      <c r="O15" s="121" t="s">
        <v>175</v>
      </c>
      <c r="P15" s="121" t="s">
        <v>237</v>
      </c>
      <c r="Q15" s="121"/>
      <c r="R15" s="121"/>
      <c r="S15" s="104"/>
      <c r="T15" s="98" t="s">
        <v>164</v>
      </c>
      <c r="U15" s="105" t="s">
        <v>228</v>
      </c>
      <c r="V15" s="105" t="s">
        <v>229</v>
      </c>
      <c r="W15" s="104" t="s">
        <v>230</v>
      </c>
      <c r="X15" s="105"/>
      <c r="Y15" s="105"/>
      <c r="Z15" s="105" t="s">
        <v>231</v>
      </c>
      <c r="AA15" s="105" t="s">
        <v>232</v>
      </c>
      <c r="AB15" s="116">
        <v>21</v>
      </c>
      <c r="AC15" s="115" t="s">
        <v>233</v>
      </c>
      <c r="AD15" s="105"/>
      <c r="AE15" s="105"/>
      <c r="AF15" s="105" t="s">
        <v>170</v>
      </c>
      <c r="AG15" s="105" t="s">
        <v>170</v>
      </c>
      <c r="AH15" s="105" t="s">
        <v>170</v>
      </c>
      <c r="AI15" s="101" t="s">
        <v>216</v>
      </c>
      <c r="AJ15" s="102" t="s">
        <v>234</v>
      </c>
      <c r="AK15" s="105" t="s">
        <v>235</v>
      </c>
      <c r="AL15" s="105" t="s">
        <v>236</v>
      </c>
      <c r="AM15" s="103" t="s">
        <v>175</v>
      </c>
      <c r="AN15" s="102" t="s">
        <v>237</v>
      </c>
      <c r="AO15" s="98" t="s">
        <v>177</v>
      </c>
      <c r="AP15" s="98" t="s">
        <v>238</v>
      </c>
      <c r="AQ15" s="105"/>
      <c r="AR15" s="105"/>
      <c r="AS15" s="105"/>
      <c r="AT15" s="105"/>
    </row>
    <row r="16" spans="1:46" s="79" customFormat="1" ht="28.8" x14ac:dyDescent="0.3">
      <c r="A16" s="121"/>
      <c r="B16" s="121" t="s">
        <v>288</v>
      </c>
      <c r="C16" s="121" t="s">
        <v>289</v>
      </c>
      <c r="D16" s="124" t="s">
        <v>300</v>
      </c>
      <c r="E16" s="125" t="str">
        <f t="shared" si="0"/>
        <v>MISSING_x000D_
Assessment Academic Subject</v>
      </c>
      <c r="F16" s="78" t="s">
        <v>229</v>
      </c>
      <c r="G16" s="121" t="s">
        <v>230</v>
      </c>
      <c r="H16" s="121" t="s">
        <v>295</v>
      </c>
      <c r="I16" s="121" t="s">
        <v>295</v>
      </c>
      <c r="J16" s="121"/>
      <c r="K16" s="121"/>
      <c r="L16" s="121" t="s">
        <v>292</v>
      </c>
      <c r="M16" s="123" t="s">
        <v>235</v>
      </c>
      <c r="N16" s="121" t="s">
        <v>236</v>
      </c>
      <c r="O16" s="121" t="s">
        <v>175</v>
      </c>
      <c r="P16" s="121" t="s">
        <v>237</v>
      </c>
      <c r="Q16" s="121"/>
      <c r="R16" s="121"/>
      <c r="S16" s="104"/>
      <c r="T16" s="98" t="s">
        <v>164</v>
      </c>
      <c r="U16" s="105" t="s">
        <v>228</v>
      </c>
      <c r="V16" s="105" t="s">
        <v>229</v>
      </c>
      <c r="W16" s="104" t="s">
        <v>230</v>
      </c>
      <c r="X16" s="105"/>
      <c r="Y16" s="105"/>
      <c r="Z16" s="105" t="s">
        <v>239</v>
      </c>
      <c r="AA16" s="105" t="s">
        <v>240</v>
      </c>
      <c r="AB16" s="116">
        <v>21</v>
      </c>
      <c r="AC16" s="115" t="s">
        <v>233</v>
      </c>
      <c r="AD16" s="105"/>
      <c r="AE16" s="105"/>
      <c r="AF16" s="105" t="s">
        <v>170</v>
      </c>
      <c r="AG16" s="105" t="s">
        <v>170</v>
      </c>
      <c r="AH16" s="105" t="s">
        <v>170</v>
      </c>
      <c r="AI16" s="101" t="s">
        <v>216</v>
      </c>
      <c r="AJ16" s="102" t="s">
        <v>234</v>
      </c>
      <c r="AK16" s="105" t="s">
        <v>235</v>
      </c>
      <c r="AL16" s="105" t="s">
        <v>236</v>
      </c>
      <c r="AM16" s="103" t="s">
        <v>175</v>
      </c>
      <c r="AN16" s="102" t="s">
        <v>237</v>
      </c>
      <c r="AO16" s="98" t="s">
        <v>177</v>
      </c>
      <c r="AP16" s="98" t="s">
        <v>238</v>
      </c>
      <c r="AQ16" s="105"/>
      <c r="AR16" s="105"/>
      <c r="AS16" s="105"/>
      <c r="AT16" s="105"/>
    </row>
    <row r="17" spans="1:46" s="79" customFormat="1" ht="28.8" x14ac:dyDescent="0.3">
      <c r="A17" s="121"/>
      <c r="B17" s="121" t="s">
        <v>288</v>
      </c>
      <c r="C17" s="121" t="s">
        <v>289</v>
      </c>
      <c r="D17" s="124" t="s">
        <v>300</v>
      </c>
      <c r="E17" s="125" t="str">
        <f t="shared" si="0"/>
        <v>MISSING_x000D_
Progress Level</v>
      </c>
      <c r="F17" s="78" t="s">
        <v>242</v>
      </c>
      <c r="G17" s="121" t="s">
        <v>243</v>
      </c>
      <c r="H17" s="121" t="s">
        <v>295</v>
      </c>
      <c r="I17" s="121" t="s">
        <v>295</v>
      </c>
      <c r="J17" s="121"/>
      <c r="K17" s="121"/>
      <c r="L17" s="121" t="s">
        <v>292</v>
      </c>
      <c r="M17" s="123" t="s">
        <v>249</v>
      </c>
      <c r="N17" s="121" t="s">
        <v>249</v>
      </c>
      <c r="O17" s="121" t="s">
        <v>175</v>
      </c>
      <c r="P17" s="121" t="s">
        <v>250</v>
      </c>
      <c r="Q17" s="121"/>
      <c r="R17" s="121"/>
      <c r="S17" s="104"/>
      <c r="T17" s="98" t="s">
        <v>164</v>
      </c>
      <c r="U17" s="105" t="s">
        <v>241</v>
      </c>
      <c r="V17" s="105" t="s">
        <v>242</v>
      </c>
      <c r="W17" s="104" t="s">
        <v>243</v>
      </c>
      <c r="X17" s="105"/>
      <c r="Y17" s="105"/>
      <c r="Z17" s="105" t="s">
        <v>244</v>
      </c>
      <c r="AA17" s="105" t="s">
        <v>245</v>
      </c>
      <c r="AB17" s="116">
        <v>561</v>
      </c>
      <c r="AC17" s="115" t="s">
        <v>246</v>
      </c>
      <c r="AD17" s="105"/>
      <c r="AE17" s="105"/>
      <c r="AF17" s="105" t="s">
        <v>170</v>
      </c>
      <c r="AG17" s="105" t="s">
        <v>170</v>
      </c>
      <c r="AH17" s="105" t="s">
        <v>170</v>
      </c>
      <c r="AI17" s="104" t="s">
        <v>247</v>
      </c>
      <c r="AJ17" s="104" t="s">
        <v>248</v>
      </c>
      <c r="AK17" s="105" t="s">
        <v>249</v>
      </c>
      <c r="AL17" s="105" t="s">
        <v>249</v>
      </c>
      <c r="AM17" s="103" t="s">
        <v>175</v>
      </c>
      <c r="AN17" s="102" t="s">
        <v>250</v>
      </c>
      <c r="AO17" s="105" t="s">
        <v>177</v>
      </c>
      <c r="AP17" s="105" t="s">
        <v>251</v>
      </c>
      <c r="AQ17" s="105"/>
      <c r="AR17" s="105"/>
      <c r="AS17" s="105"/>
      <c r="AT17" s="105"/>
    </row>
    <row r="18" spans="1:46" s="79" customFormat="1" ht="28.8" x14ac:dyDescent="0.3">
      <c r="A18" s="121"/>
      <c r="B18" s="121" t="s">
        <v>288</v>
      </c>
      <c r="C18" s="121" t="s">
        <v>289</v>
      </c>
      <c r="D18" s="124" t="s">
        <v>300</v>
      </c>
      <c r="E18" s="125" t="str">
        <f t="shared" si="0"/>
        <v>MISSING_x000D_
Progress Level</v>
      </c>
      <c r="F18" s="78" t="s">
        <v>242</v>
      </c>
      <c r="G18" s="121" t="s">
        <v>243</v>
      </c>
      <c r="H18" s="121" t="s">
        <v>295</v>
      </c>
      <c r="I18" s="121" t="s">
        <v>295</v>
      </c>
      <c r="J18" s="121"/>
      <c r="K18" s="121"/>
      <c r="L18" s="121" t="s">
        <v>292</v>
      </c>
      <c r="M18" s="123" t="s">
        <v>249</v>
      </c>
      <c r="N18" s="121" t="s">
        <v>249</v>
      </c>
      <c r="O18" s="121" t="s">
        <v>175</v>
      </c>
      <c r="P18" s="121" t="s">
        <v>250</v>
      </c>
      <c r="Q18" s="121"/>
      <c r="R18" s="121"/>
      <c r="S18" s="104"/>
      <c r="T18" s="98" t="s">
        <v>164</v>
      </c>
      <c r="U18" s="105" t="s">
        <v>241</v>
      </c>
      <c r="V18" s="105" t="s">
        <v>242</v>
      </c>
      <c r="W18" s="104" t="s">
        <v>243</v>
      </c>
      <c r="X18" s="105"/>
      <c r="Y18" s="105"/>
      <c r="Z18" s="105" t="s">
        <v>252</v>
      </c>
      <c r="AA18" s="105" t="s">
        <v>253</v>
      </c>
      <c r="AB18" s="116">
        <v>561</v>
      </c>
      <c r="AC18" s="115" t="s">
        <v>246</v>
      </c>
      <c r="AD18" s="105"/>
      <c r="AE18" s="105"/>
      <c r="AF18" s="105" t="s">
        <v>170</v>
      </c>
      <c r="AG18" s="105" t="s">
        <v>170</v>
      </c>
      <c r="AH18" s="105" t="s">
        <v>170</v>
      </c>
      <c r="AI18" s="104" t="s">
        <v>247</v>
      </c>
      <c r="AJ18" s="104" t="s">
        <v>248</v>
      </c>
      <c r="AK18" s="105" t="s">
        <v>249</v>
      </c>
      <c r="AL18" s="105" t="s">
        <v>249</v>
      </c>
      <c r="AM18" s="103" t="s">
        <v>175</v>
      </c>
      <c r="AN18" s="102" t="s">
        <v>250</v>
      </c>
      <c r="AO18" s="105" t="s">
        <v>177</v>
      </c>
      <c r="AP18" s="105" t="s">
        <v>251</v>
      </c>
      <c r="AQ18" s="105"/>
      <c r="AR18" s="105"/>
      <c r="AS18" s="105"/>
      <c r="AT18" s="105"/>
    </row>
    <row r="19" spans="1:46" s="79" customFormat="1" ht="28.8" x14ac:dyDescent="0.3">
      <c r="A19" s="121"/>
      <c r="B19" s="121" t="s">
        <v>288</v>
      </c>
      <c r="C19" s="121" t="s">
        <v>289</v>
      </c>
      <c r="D19" s="124" t="s">
        <v>300</v>
      </c>
      <c r="E19" s="125" t="str">
        <f t="shared" si="0"/>
        <v>MISSING_x000D_
Progress Level</v>
      </c>
      <c r="F19" s="78" t="s">
        <v>242</v>
      </c>
      <c r="G19" s="121" t="s">
        <v>243</v>
      </c>
      <c r="H19" s="121" t="s">
        <v>295</v>
      </c>
      <c r="I19" s="121" t="s">
        <v>295</v>
      </c>
      <c r="J19" s="121"/>
      <c r="K19" s="121"/>
      <c r="L19" s="121" t="s">
        <v>292</v>
      </c>
      <c r="M19" s="123" t="s">
        <v>249</v>
      </c>
      <c r="N19" s="121" t="s">
        <v>249</v>
      </c>
      <c r="O19" s="121" t="s">
        <v>175</v>
      </c>
      <c r="P19" s="121" t="s">
        <v>250</v>
      </c>
      <c r="Q19" s="121"/>
      <c r="R19" s="121"/>
      <c r="S19" s="104"/>
      <c r="T19" s="98" t="s">
        <v>164</v>
      </c>
      <c r="U19" s="105" t="s">
        <v>241</v>
      </c>
      <c r="V19" s="105" t="s">
        <v>242</v>
      </c>
      <c r="W19" s="104" t="s">
        <v>243</v>
      </c>
      <c r="X19" s="105"/>
      <c r="Y19" s="105"/>
      <c r="Z19" s="105" t="s">
        <v>254</v>
      </c>
      <c r="AA19" s="105" t="s">
        <v>255</v>
      </c>
      <c r="AB19" s="116">
        <v>561</v>
      </c>
      <c r="AC19" s="115" t="s">
        <v>246</v>
      </c>
      <c r="AD19" s="105"/>
      <c r="AE19" s="105"/>
      <c r="AF19" s="105" t="s">
        <v>170</v>
      </c>
      <c r="AG19" s="105" t="s">
        <v>170</v>
      </c>
      <c r="AH19" s="105" t="s">
        <v>170</v>
      </c>
      <c r="AI19" s="104" t="s">
        <v>247</v>
      </c>
      <c r="AJ19" s="104" t="s">
        <v>248</v>
      </c>
      <c r="AK19" s="105" t="s">
        <v>249</v>
      </c>
      <c r="AL19" s="105" t="s">
        <v>249</v>
      </c>
      <c r="AM19" s="103" t="s">
        <v>175</v>
      </c>
      <c r="AN19" s="102" t="s">
        <v>250</v>
      </c>
      <c r="AO19" s="105" t="s">
        <v>177</v>
      </c>
      <c r="AP19" s="105" t="s">
        <v>251</v>
      </c>
      <c r="AQ19" s="105"/>
      <c r="AR19" s="105"/>
      <c r="AS19" s="105"/>
      <c r="AT19" s="105"/>
    </row>
    <row r="20" spans="1:46" s="79" customFormat="1" ht="28.8" x14ac:dyDescent="0.3">
      <c r="A20" s="121"/>
      <c r="B20" s="121" t="s">
        <v>288</v>
      </c>
      <c r="C20" s="121" t="s">
        <v>289</v>
      </c>
      <c r="D20" s="124" t="s">
        <v>300</v>
      </c>
      <c r="E20" s="125" t="str">
        <f t="shared" si="0"/>
        <v>MISSING_x000D_
Progress Level</v>
      </c>
      <c r="F20" s="78" t="s">
        <v>242</v>
      </c>
      <c r="G20" s="121" t="s">
        <v>243</v>
      </c>
      <c r="H20" s="121" t="s">
        <v>295</v>
      </c>
      <c r="I20" s="121" t="s">
        <v>295</v>
      </c>
      <c r="J20" s="121"/>
      <c r="K20" s="121"/>
      <c r="L20" s="121" t="s">
        <v>292</v>
      </c>
      <c r="M20" s="123" t="s">
        <v>249</v>
      </c>
      <c r="N20" s="121" t="s">
        <v>249</v>
      </c>
      <c r="O20" s="121" t="s">
        <v>175</v>
      </c>
      <c r="P20" s="121" t="s">
        <v>250</v>
      </c>
      <c r="Q20" s="121"/>
      <c r="R20" s="121"/>
      <c r="S20" s="104"/>
      <c r="T20" s="98" t="s">
        <v>164</v>
      </c>
      <c r="U20" s="105" t="s">
        <v>241</v>
      </c>
      <c r="V20" s="105" t="s">
        <v>242</v>
      </c>
      <c r="W20" s="104" t="s">
        <v>243</v>
      </c>
      <c r="X20" s="105"/>
      <c r="Y20" s="105"/>
      <c r="Z20" s="105" t="s">
        <v>256</v>
      </c>
      <c r="AA20" s="105" t="s">
        <v>257</v>
      </c>
      <c r="AB20" s="116">
        <v>561</v>
      </c>
      <c r="AC20" s="115" t="s">
        <v>246</v>
      </c>
      <c r="AD20" s="105"/>
      <c r="AE20" s="105"/>
      <c r="AF20" s="105" t="s">
        <v>170</v>
      </c>
      <c r="AG20" s="105" t="s">
        <v>170</v>
      </c>
      <c r="AH20" s="105" t="s">
        <v>170</v>
      </c>
      <c r="AI20" s="104" t="s">
        <v>247</v>
      </c>
      <c r="AJ20" s="104" t="s">
        <v>248</v>
      </c>
      <c r="AK20" s="105" t="s">
        <v>249</v>
      </c>
      <c r="AL20" s="105" t="s">
        <v>249</v>
      </c>
      <c r="AM20" s="103" t="s">
        <v>175</v>
      </c>
      <c r="AN20" s="102" t="s">
        <v>250</v>
      </c>
      <c r="AO20" s="105" t="s">
        <v>177</v>
      </c>
      <c r="AP20" s="105" t="s">
        <v>251</v>
      </c>
      <c r="AQ20" s="105"/>
      <c r="AR20" s="105"/>
      <c r="AS20" s="105"/>
      <c r="AT20" s="105"/>
    </row>
    <row r="21" spans="1:46" s="79" customFormat="1" ht="43.2" x14ac:dyDescent="0.3">
      <c r="A21" s="121"/>
      <c r="B21" s="121" t="s">
        <v>288</v>
      </c>
      <c r="C21" s="121" t="s">
        <v>289</v>
      </c>
      <c r="D21" s="124" t="s">
        <v>300</v>
      </c>
      <c r="E21" s="125" t="str">
        <f t="shared" si="0"/>
        <v>MISSING_x000D_
Program Participation Start Date</v>
      </c>
      <c r="F21" s="78" t="s">
        <v>258</v>
      </c>
      <c r="G21" s="121" t="s">
        <v>259</v>
      </c>
      <c r="H21" s="121" t="s">
        <v>190</v>
      </c>
      <c r="I21" s="121" t="s">
        <v>295</v>
      </c>
      <c r="J21" s="121"/>
      <c r="K21" s="121"/>
      <c r="L21" s="121" t="s">
        <v>292</v>
      </c>
      <c r="M21" s="122" t="s">
        <v>186</v>
      </c>
      <c r="N21" s="122" t="s">
        <v>186</v>
      </c>
      <c r="O21" s="122" t="s">
        <v>186</v>
      </c>
      <c r="P21" s="122" t="s">
        <v>186</v>
      </c>
      <c r="Q21" s="121"/>
      <c r="R21" s="121"/>
      <c r="S21" s="104"/>
      <c r="T21" s="98" t="s">
        <v>164</v>
      </c>
      <c r="U21" s="98" t="s">
        <v>211</v>
      </c>
      <c r="V21" s="105" t="s">
        <v>258</v>
      </c>
      <c r="W21" s="104" t="s">
        <v>259</v>
      </c>
      <c r="X21" s="105" t="s">
        <v>190</v>
      </c>
      <c r="Y21" s="105"/>
      <c r="Z21" s="105"/>
      <c r="AA21" s="105"/>
      <c r="AB21" s="116">
        <v>590</v>
      </c>
      <c r="AC21" s="115" t="s">
        <v>260</v>
      </c>
      <c r="AD21" s="105"/>
      <c r="AE21" s="105"/>
      <c r="AF21" s="105" t="s">
        <v>170</v>
      </c>
      <c r="AG21" s="105" t="s">
        <v>170</v>
      </c>
      <c r="AH21" s="105" t="s">
        <v>170</v>
      </c>
      <c r="AI21" s="98" t="s">
        <v>216</v>
      </c>
      <c r="AJ21" s="105" t="s">
        <v>261</v>
      </c>
      <c r="AK21" s="100" t="s">
        <v>186</v>
      </c>
      <c r="AL21" s="100" t="s">
        <v>186</v>
      </c>
      <c r="AM21" s="100" t="s">
        <v>186</v>
      </c>
      <c r="AN21" s="100" t="s">
        <v>186</v>
      </c>
      <c r="AO21" s="100" t="s">
        <v>186</v>
      </c>
      <c r="AP21" s="100" t="s">
        <v>186</v>
      </c>
      <c r="AQ21" s="105"/>
      <c r="AR21" s="105"/>
      <c r="AS21" s="105"/>
      <c r="AT21" s="105"/>
    </row>
    <row r="22" spans="1:46" s="79" customFormat="1" ht="43.2" x14ac:dyDescent="0.3">
      <c r="A22" s="121"/>
      <c r="B22" s="121" t="s">
        <v>288</v>
      </c>
      <c r="C22" s="121" t="s">
        <v>289</v>
      </c>
      <c r="D22" s="124" t="s">
        <v>300</v>
      </c>
      <c r="E22" s="125" t="str">
        <f t="shared" si="0"/>
        <v>MISSING_x000D_
Program Participation Exit Date</v>
      </c>
      <c r="F22" s="78" t="s">
        <v>262</v>
      </c>
      <c r="G22" s="121" t="s">
        <v>263</v>
      </c>
      <c r="H22" s="121" t="s">
        <v>190</v>
      </c>
      <c r="I22" s="121" t="s">
        <v>295</v>
      </c>
      <c r="J22" s="121"/>
      <c r="K22" s="121"/>
      <c r="L22" s="121" t="s">
        <v>292</v>
      </c>
      <c r="M22" s="122" t="s">
        <v>186</v>
      </c>
      <c r="N22" s="122" t="s">
        <v>186</v>
      </c>
      <c r="O22" s="122" t="s">
        <v>186</v>
      </c>
      <c r="P22" s="122" t="s">
        <v>186</v>
      </c>
      <c r="Q22" s="121"/>
      <c r="R22" s="121"/>
      <c r="S22" s="104"/>
      <c r="T22" s="98" t="s">
        <v>164</v>
      </c>
      <c r="U22" s="98" t="s">
        <v>211</v>
      </c>
      <c r="V22" s="105" t="s">
        <v>262</v>
      </c>
      <c r="W22" s="104" t="s">
        <v>263</v>
      </c>
      <c r="X22" s="105" t="s">
        <v>190</v>
      </c>
      <c r="Y22" s="105"/>
      <c r="Z22" s="105"/>
      <c r="AA22" s="105"/>
      <c r="AB22" s="116">
        <v>591</v>
      </c>
      <c r="AC22" s="115" t="s">
        <v>264</v>
      </c>
      <c r="AD22" s="105"/>
      <c r="AE22" s="105"/>
      <c r="AF22" s="105" t="s">
        <v>170</v>
      </c>
      <c r="AG22" s="105" t="s">
        <v>170</v>
      </c>
      <c r="AH22" s="105" t="s">
        <v>170</v>
      </c>
      <c r="AI22" s="98" t="s">
        <v>216</v>
      </c>
      <c r="AJ22" s="105" t="s">
        <v>265</v>
      </c>
      <c r="AK22" s="100" t="s">
        <v>186</v>
      </c>
      <c r="AL22" s="100" t="s">
        <v>186</v>
      </c>
      <c r="AM22" s="100" t="s">
        <v>186</v>
      </c>
      <c r="AN22" s="100" t="s">
        <v>186</v>
      </c>
      <c r="AO22" s="100" t="s">
        <v>186</v>
      </c>
      <c r="AP22" s="100" t="s">
        <v>186</v>
      </c>
      <c r="AQ22" s="105"/>
      <c r="AR22" s="105"/>
      <c r="AS22" s="105"/>
      <c r="AT22" s="105"/>
    </row>
    <row r="23" spans="1:46" ht="86.4" x14ac:dyDescent="0.3">
      <c r="A23" s="121"/>
      <c r="B23" s="121" t="s">
        <v>288</v>
      </c>
      <c r="C23" s="121" t="s">
        <v>289</v>
      </c>
      <c r="D23" s="124" t="s">
        <v>300</v>
      </c>
      <c r="E23" s="125" t="str">
        <f t="shared" si="0"/>
        <v>MISSING_x000D_
Neglected or Delinquent Long Term Status
PENDING https://github.com/CEDStandards/CEDS-Elements/issues/848</v>
      </c>
      <c r="F23" s="78" t="s">
        <v>268</v>
      </c>
      <c r="G23" s="121" t="s">
        <v>269</v>
      </c>
      <c r="H23" s="121" t="s">
        <v>295</v>
      </c>
      <c r="I23" s="121" t="s">
        <v>295</v>
      </c>
      <c r="J23" s="121"/>
      <c r="K23" s="121"/>
      <c r="L23" s="121" t="s">
        <v>292</v>
      </c>
      <c r="M23" s="121" t="s">
        <v>275</v>
      </c>
      <c r="N23" s="121" t="s">
        <v>276</v>
      </c>
      <c r="O23" s="121" t="s">
        <v>175</v>
      </c>
      <c r="P23" s="121" t="s">
        <v>220</v>
      </c>
      <c r="Q23" s="121"/>
      <c r="R23" s="121"/>
      <c r="S23" s="106" t="s">
        <v>266</v>
      </c>
      <c r="T23" s="98" t="s">
        <v>164</v>
      </c>
      <c r="U23" s="117" t="s">
        <v>267</v>
      </c>
      <c r="V23" s="117" t="s">
        <v>268</v>
      </c>
      <c r="W23" s="117" t="s">
        <v>269</v>
      </c>
      <c r="X23" s="118"/>
      <c r="Y23" s="118"/>
      <c r="Z23" s="117" t="s">
        <v>270</v>
      </c>
      <c r="AA23" s="117" t="s">
        <v>271</v>
      </c>
      <c r="AB23" s="119" t="s">
        <v>272</v>
      </c>
      <c r="AC23" s="120" t="s">
        <v>273</v>
      </c>
      <c r="AD23" s="105"/>
      <c r="AE23" s="105"/>
      <c r="AF23" s="105" t="s">
        <v>170</v>
      </c>
      <c r="AG23" s="105" t="s">
        <v>170</v>
      </c>
      <c r="AH23" s="105" t="s">
        <v>170</v>
      </c>
      <c r="AI23" s="98" t="s">
        <v>216</v>
      </c>
      <c r="AJ23" s="105" t="s">
        <v>274</v>
      </c>
      <c r="AK23" s="93" t="s">
        <v>275</v>
      </c>
      <c r="AL23" s="92" t="s">
        <v>276</v>
      </c>
      <c r="AM23" s="94" t="s">
        <v>175</v>
      </c>
      <c r="AN23" s="92" t="s">
        <v>220</v>
      </c>
      <c r="AO23" s="92" t="s">
        <v>177</v>
      </c>
      <c r="AP23" s="92" t="s">
        <v>277</v>
      </c>
      <c r="AQ23" s="105"/>
      <c r="AR23" s="105"/>
      <c r="AS23" s="105"/>
      <c r="AT23" s="105"/>
    </row>
    <row r="24" spans="1:46" ht="14.4" x14ac:dyDescent="0.3">
      <c r="Q24"/>
      <c r="R24"/>
      <c r="S24"/>
      <c r="T24" s="82"/>
      <c r="U24"/>
      <c r="V24"/>
      <c r="X24"/>
      <c r="Y24"/>
      <c r="Z24"/>
      <c r="AA24"/>
      <c r="AB24" s="91"/>
      <c r="AC24" s="88"/>
      <c r="AD24"/>
      <c r="AE24"/>
      <c r="AF24"/>
      <c r="AG24"/>
      <c r="AH24"/>
      <c r="AI24"/>
      <c r="AJ24"/>
      <c r="AK24"/>
      <c r="AL24"/>
      <c r="AM24"/>
      <c r="AN24"/>
      <c r="AO24"/>
      <c r="AP24"/>
      <c r="AQ24"/>
      <c r="AR24"/>
      <c r="AS24"/>
      <c r="AT24"/>
    </row>
    <row r="25" spans="1:46" ht="14.4" x14ac:dyDescent="0.3">
      <c r="Q25"/>
      <c r="R25"/>
      <c r="S25"/>
      <c r="T25" s="82"/>
      <c r="U25"/>
      <c r="V25"/>
      <c r="X25"/>
      <c r="Y25"/>
      <c r="Z25"/>
      <c r="AA25"/>
      <c r="AB25" s="91"/>
      <c r="AC25" s="88"/>
      <c r="AD25"/>
      <c r="AE25"/>
      <c r="AF25"/>
      <c r="AG25"/>
      <c r="AH25"/>
      <c r="AI25"/>
      <c r="AJ25"/>
      <c r="AK25"/>
      <c r="AL25"/>
      <c r="AM25"/>
      <c r="AN25"/>
      <c r="AO25"/>
      <c r="AP25"/>
      <c r="AQ25"/>
      <c r="AR25"/>
      <c r="AS25"/>
      <c r="AT25"/>
    </row>
    <row r="26" spans="1:46" ht="14.4" x14ac:dyDescent="0.3">
      <c r="Q26"/>
      <c r="R26"/>
      <c r="S26"/>
      <c r="T26" s="82"/>
      <c r="U26"/>
      <c r="V26"/>
      <c r="X26"/>
      <c r="Y26"/>
      <c r="Z26"/>
      <c r="AA26"/>
      <c r="AB26" s="91"/>
      <c r="AC26" s="88"/>
      <c r="AD26"/>
      <c r="AE26"/>
      <c r="AF26"/>
      <c r="AG26"/>
      <c r="AH26"/>
      <c r="AI26"/>
      <c r="AJ26"/>
      <c r="AK26"/>
      <c r="AL26"/>
      <c r="AM26"/>
      <c r="AN26"/>
      <c r="AO26"/>
      <c r="AP26"/>
      <c r="AQ26"/>
      <c r="AR26"/>
      <c r="AS26"/>
      <c r="AT26"/>
    </row>
    <row r="27" spans="1:46" ht="14.4" x14ac:dyDescent="0.3">
      <c r="Q27"/>
      <c r="R27"/>
      <c r="S27"/>
      <c r="T27" s="82"/>
      <c r="U27"/>
      <c r="V27"/>
      <c r="X27"/>
      <c r="Y27"/>
      <c r="Z27"/>
      <c r="AA27"/>
      <c r="AB27" s="91"/>
      <c r="AC27" s="88"/>
      <c r="AD27"/>
      <c r="AE27"/>
      <c r="AF27"/>
      <c r="AG27"/>
      <c r="AH27"/>
      <c r="AI27"/>
      <c r="AJ27"/>
      <c r="AK27"/>
      <c r="AL27"/>
      <c r="AM27"/>
      <c r="AN27"/>
      <c r="AO27"/>
      <c r="AP27"/>
      <c r="AQ27"/>
      <c r="AR27"/>
      <c r="AS27"/>
      <c r="AT27"/>
    </row>
    <row r="28" spans="1:46" ht="14.4" x14ac:dyDescent="0.3">
      <c r="Q28"/>
      <c r="R28"/>
      <c r="S28"/>
      <c r="T28" s="82"/>
      <c r="U28"/>
      <c r="V28"/>
      <c r="X28"/>
      <c r="Y28"/>
      <c r="Z28"/>
      <c r="AA28"/>
      <c r="AB28" s="91"/>
      <c r="AC28" s="88"/>
      <c r="AD28"/>
      <c r="AE28"/>
      <c r="AF28"/>
      <c r="AG28"/>
      <c r="AH28"/>
      <c r="AI28"/>
      <c r="AJ28"/>
      <c r="AK28"/>
      <c r="AL28"/>
      <c r="AM28"/>
      <c r="AN28"/>
      <c r="AO28"/>
      <c r="AP28"/>
      <c r="AQ28"/>
      <c r="AR28"/>
      <c r="AS28"/>
      <c r="AT28"/>
    </row>
    <row r="29" spans="1:46" ht="14.4" x14ac:dyDescent="0.3">
      <c r="Q29"/>
      <c r="R29"/>
      <c r="S29"/>
      <c r="T29" s="82"/>
      <c r="U29"/>
      <c r="V29"/>
      <c r="X29"/>
      <c r="Y29"/>
      <c r="Z29"/>
      <c r="AA29"/>
      <c r="AB29" s="91"/>
      <c r="AC29" s="88"/>
      <c r="AD29"/>
      <c r="AE29"/>
      <c r="AF29"/>
      <c r="AG29"/>
      <c r="AH29"/>
      <c r="AI29"/>
      <c r="AJ29"/>
      <c r="AK29"/>
      <c r="AL29"/>
      <c r="AM29"/>
      <c r="AN29"/>
      <c r="AO29"/>
      <c r="AP29"/>
      <c r="AQ29"/>
      <c r="AR29"/>
      <c r="AS29"/>
      <c r="AT29"/>
    </row>
    <row r="30" spans="1:46" ht="14.4" x14ac:dyDescent="0.3"/>
    <row r="31" spans="1:46" ht="14.4" x14ac:dyDescent="0.3"/>
    <row r="32" spans="1:46" ht="14.4" x14ac:dyDescent="0.3"/>
    <row r="33" ht="14.4" x14ac:dyDescent="0.3"/>
    <row r="34" ht="14.4" x14ac:dyDescent="0.3"/>
    <row r="35" ht="14.4" x14ac:dyDescent="0.3"/>
    <row r="36" ht="14.4" x14ac:dyDescent="0.3"/>
    <row r="37" ht="14.4" x14ac:dyDescent="0.3"/>
    <row r="38" ht="14.4" x14ac:dyDescent="0.3"/>
    <row r="39" ht="14.4" x14ac:dyDescent="0.3"/>
    <row r="40" ht="14.4" x14ac:dyDescent="0.3"/>
    <row r="41" ht="14.4" x14ac:dyDescent="0.3"/>
    <row r="42" ht="14.4" x14ac:dyDescent="0.3"/>
    <row r="43" ht="14.4" x14ac:dyDescent="0.3"/>
    <row r="44" ht="14.4" x14ac:dyDescent="0.3"/>
    <row r="45" ht="14.4" x14ac:dyDescent="0.3"/>
    <row r="46" ht="14.4" x14ac:dyDescent="0.3"/>
    <row r="47" ht="14.4" x14ac:dyDescent="0.3"/>
    <row r="48" ht="14.4" x14ac:dyDescent="0.3"/>
    <row r="49" ht="14.4" x14ac:dyDescent="0.3"/>
    <row r="50" ht="14.4" x14ac:dyDescent="0.3"/>
    <row r="51" ht="14.4" x14ac:dyDescent="0.3"/>
    <row r="52" ht="14.4" x14ac:dyDescent="0.3"/>
  </sheetData>
  <mergeCells count="6">
    <mergeCell ref="M2:P2"/>
    <mergeCell ref="AK2:AP2"/>
    <mergeCell ref="AQ2:AT2"/>
    <mergeCell ref="AI2:AJ2"/>
    <mergeCell ref="Q2:S2"/>
    <mergeCell ref="AB2:AE2"/>
  </mergeCells>
  <phoneticPr fontId="11" type="noConversion"/>
  <pageMargins left="0.25" right="0.25" top="0.75" bottom="0.75" header="0.3" footer="0.3"/>
  <pageSetup scale="14"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B161-AE4F-4FD1-8C69-4B7FE8E351D3}">
  <dimension ref="A1:N13"/>
  <sheetViews>
    <sheetView workbookViewId="0">
      <selection activeCell="C12" sqref="C12"/>
    </sheetView>
  </sheetViews>
  <sheetFormatPr defaultRowHeight="14.4" x14ac:dyDescent="0.3"/>
  <cols>
    <col min="1" max="1" width="48.77734375" bestFit="1" customWidth="1"/>
    <col min="2" max="2" width="32" customWidth="1"/>
    <col min="3" max="3" width="72" customWidth="1"/>
    <col min="4" max="4" width="29.44140625" bestFit="1" customWidth="1"/>
    <col min="5" max="5" width="29.5546875" bestFit="1" customWidth="1"/>
  </cols>
  <sheetData>
    <row r="1" spans="1:14" x14ac:dyDescent="0.3">
      <c r="A1" s="141" t="s">
        <v>278</v>
      </c>
      <c r="B1" s="141"/>
      <c r="C1" s="141"/>
      <c r="D1" s="141"/>
      <c r="E1" s="141"/>
      <c r="F1" s="141"/>
      <c r="G1" s="141"/>
      <c r="H1" s="141"/>
      <c r="I1" s="141"/>
      <c r="J1" s="141"/>
      <c r="K1" s="141"/>
      <c r="L1" s="141"/>
      <c r="M1" s="141"/>
      <c r="N1" s="141"/>
    </row>
    <row r="2" spans="1:14" x14ac:dyDescent="0.3">
      <c r="A2" s="141" t="s">
        <v>279</v>
      </c>
      <c r="B2" s="141"/>
      <c r="C2" s="141"/>
      <c r="D2" s="141"/>
      <c r="E2" s="141"/>
      <c r="F2" s="141"/>
      <c r="G2" s="141"/>
      <c r="H2" s="141"/>
      <c r="I2" s="141"/>
    </row>
    <row r="4" spans="1:14" ht="15.6" x14ac:dyDescent="0.3">
      <c r="A4" s="126" t="s">
        <v>280</v>
      </c>
      <c r="B4" s="126" t="s">
        <v>301</v>
      </c>
      <c r="C4" s="127" t="s">
        <v>91</v>
      </c>
    </row>
    <row r="5" spans="1:14" ht="15.6" x14ac:dyDescent="0.3">
      <c r="A5" s="128" t="s">
        <v>258</v>
      </c>
      <c r="B5" s="128" t="s">
        <v>302</v>
      </c>
      <c r="C5" s="129"/>
      <c r="D5">
        <f>MATCH(A5,'ETL Detail'!V:V,0)</f>
        <v>21</v>
      </c>
    </row>
    <row r="6" spans="1:14" ht="57.6" x14ac:dyDescent="0.3">
      <c r="A6" s="128" t="s">
        <v>303</v>
      </c>
      <c r="B6" s="128" t="s">
        <v>302</v>
      </c>
      <c r="C6" s="130" t="s">
        <v>304</v>
      </c>
      <c r="D6" t="e">
        <f>MATCH(A6,'ETL Detail'!V:V,0)</f>
        <v>#N/A</v>
      </c>
    </row>
    <row r="7" spans="1:14" ht="28.8" x14ac:dyDescent="0.3">
      <c r="A7" s="128" t="s">
        <v>212</v>
      </c>
      <c r="B7" s="130" t="s">
        <v>305</v>
      </c>
      <c r="C7" s="130" t="s">
        <v>306</v>
      </c>
      <c r="D7">
        <f>MATCH(A7,'ETL Detail'!V:V,0)</f>
        <v>10</v>
      </c>
    </row>
    <row r="8" spans="1:14" ht="43.2" x14ac:dyDescent="0.3">
      <c r="A8" s="128" t="s">
        <v>229</v>
      </c>
      <c r="B8" s="130" t="s">
        <v>307</v>
      </c>
      <c r="C8" s="130" t="s">
        <v>308</v>
      </c>
      <c r="D8">
        <f>MATCH(A8,'ETL Detail'!V:V,0)</f>
        <v>15</v>
      </c>
    </row>
    <row r="9" spans="1:14" x14ac:dyDescent="0.3">
      <c r="A9" s="128" t="s">
        <v>229</v>
      </c>
      <c r="B9" s="128" t="s">
        <v>302</v>
      </c>
      <c r="C9" s="130" t="s">
        <v>309</v>
      </c>
      <c r="D9">
        <f>MATCH(A9,'ETL Detail'!V:V,0)</f>
        <v>15</v>
      </c>
    </row>
    <row r="10" spans="1:14" x14ac:dyDescent="0.3">
      <c r="A10" s="128" t="s">
        <v>242</v>
      </c>
      <c r="B10" s="128" t="s">
        <v>310</v>
      </c>
      <c r="C10" s="130" t="s">
        <v>311</v>
      </c>
      <c r="D10">
        <f>MATCH(A10,'ETL Detail'!V:V,0)</f>
        <v>17</v>
      </c>
    </row>
    <row r="11" spans="1:14" x14ac:dyDescent="0.3">
      <c r="A11" s="128" t="s">
        <v>223</v>
      </c>
      <c r="B11" s="128" t="s">
        <v>310</v>
      </c>
      <c r="C11" s="130" t="s">
        <v>312</v>
      </c>
      <c r="D11">
        <f>MATCH(A11,'ETL Detail'!V:V,0)</f>
        <v>13</v>
      </c>
    </row>
    <row r="12" spans="1:14" ht="43.2" x14ac:dyDescent="0.3">
      <c r="A12" s="128" t="s">
        <v>313</v>
      </c>
      <c r="B12" s="130" t="s">
        <v>305</v>
      </c>
      <c r="C12" s="130" t="s">
        <v>315</v>
      </c>
      <c r="D12" t="e">
        <f>MATCH(A12,'ETL Detail'!V:V,0)</f>
        <v>#N/A</v>
      </c>
    </row>
    <row r="13" spans="1:14" x14ac:dyDescent="0.3">
      <c r="A13" s="128" t="s">
        <v>313</v>
      </c>
      <c r="B13" s="128" t="s">
        <v>302</v>
      </c>
      <c r="C13" s="130" t="s">
        <v>314</v>
      </c>
      <c r="D13" t="e">
        <f>MATCH(A13,'ETL Detail'!V:V,0)</f>
        <v>#N/A</v>
      </c>
    </row>
  </sheetData>
  <mergeCells count="2">
    <mergeCell ref="A1:N1"/>
    <mergeCell ref="A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topLeftCell="B1" zoomScale="85" zoomScaleNormal="85" workbookViewId="0">
      <selection activeCell="F11" sqref="F11"/>
    </sheetView>
  </sheetViews>
  <sheetFormatPr defaultRowHeight="14.4" x14ac:dyDescent="0.3"/>
  <cols>
    <col min="1" max="1" width="2.5546875" customWidth="1"/>
    <col min="2" max="2" width="65.5546875" customWidth="1"/>
    <col min="3" max="3" width="2.88671875" customWidth="1"/>
    <col min="4" max="4" width="15.5546875" customWidth="1"/>
    <col min="5" max="5" width="35.5546875" customWidth="1"/>
    <col min="6" max="6" width="90.5546875" customWidth="1"/>
    <col min="7" max="7" width="110.44140625" bestFit="1" customWidth="1"/>
  </cols>
  <sheetData>
    <row r="1" spans="1:7" ht="15" customHeight="1" x14ac:dyDescent="0.3">
      <c r="A1" s="57" t="s">
        <v>281</v>
      </c>
    </row>
    <row r="2" spans="1:7" s="50" customFormat="1" ht="35.1" customHeight="1" x14ac:dyDescent="0.3">
      <c r="D2" s="59" t="s">
        <v>282</v>
      </c>
      <c r="E2" s="59" t="s">
        <v>283</v>
      </c>
      <c r="F2" s="59" t="s">
        <v>284</v>
      </c>
      <c r="G2" s="59" t="s">
        <v>285</v>
      </c>
    </row>
    <row r="3" spans="1:7" ht="35.1" customHeight="1" x14ac:dyDescent="0.3"/>
    <row r="4" spans="1:7" ht="35.1" customHeight="1" x14ac:dyDescent="0.3">
      <c r="D4" s="74"/>
      <c r="E4" s="75"/>
      <c r="F4" s="75"/>
      <c r="G4" s="75"/>
    </row>
    <row r="5" spans="1:7" ht="35.1" customHeight="1" x14ac:dyDescent="0.3">
      <c r="D5" s="74"/>
      <c r="E5" s="75"/>
      <c r="F5" s="75"/>
      <c r="G5" s="75"/>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election activeCell="B11" sqref="B11"/>
    </sheetView>
  </sheetViews>
  <sheetFormatPr defaultRowHeight="14.4" x14ac:dyDescent="0.3"/>
  <cols>
    <col min="1" max="1" width="2.5546875" customWidth="1"/>
    <col min="2" max="2" width="65.5546875" customWidth="1"/>
    <col min="3" max="3" width="2.5546875" customWidth="1"/>
    <col min="4" max="4" width="15.5546875" customWidth="1"/>
    <col min="5" max="5" width="35.5546875" customWidth="1"/>
    <col min="6" max="7" width="90.5546875" customWidth="1"/>
  </cols>
  <sheetData>
    <row r="1" spans="1:7" ht="15" customHeight="1" x14ac:dyDescent="0.3">
      <c r="A1" s="55" t="s">
        <v>286</v>
      </c>
    </row>
    <row r="2" spans="1:7" ht="35.1" customHeight="1" x14ac:dyDescent="0.3">
      <c r="D2" s="59" t="s">
        <v>282</v>
      </c>
      <c r="E2" s="59" t="s">
        <v>283</v>
      </c>
      <c r="F2" s="59" t="s">
        <v>287</v>
      </c>
      <c r="G2" s="59" t="s">
        <v>285</v>
      </c>
    </row>
    <row r="3" spans="1:7" ht="35.1" customHeight="1" x14ac:dyDescent="0.3">
      <c r="D3" s="58"/>
      <c r="E3" s="48"/>
      <c r="F3" s="48"/>
      <c r="G3" s="48"/>
    </row>
    <row r="4" spans="1:7" ht="35.1" customHeight="1" x14ac:dyDescent="0.3">
      <c r="D4" s="58"/>
      <c r="E4" s="48"/>
      <c r="F4" s="48"/>
      <c r="G4" s="48"/>
    </row>
    <row r="5" spans="1:7" ht="35.1" customHeight="1" x14ac:dyDescent="0.3">
      <c r="D5" s="58"/>
      <c r="E5" s="48"/>
      <c r="F5" s="48"/>
      <c r="G5" s="48"/>
    </row>
    <row r="6" spans="1:7" ht="35.1" customHeight="1" x14ac:dyDescent="0.3">
      <c r="D6" s="58"/>
      <c r="E6" s="48"/>
      <c r="F6" s="48"/>
      <c r="G6" s="48"/>
    </row>
    <row r="7" spans="1:7" ht="35.1" customHeight="1" x14ac:dyDescent="0.3">
      <c r="D7" s="58"/>
      <c r="E7" s="48"/>
      <c r="F7" s="48"/>
      <c r="G7" s="48"/>
    </row>
    <row r="8" spans="1:7" ht="35.1" customHeight="1" x14ac:dyDescent="0.3">
      <c r="D8" s="58"/>
      <c r="E8" s="48"/>
      <c r="F8" s="48"/>
      <c r="G8" s="48"/>
    </row>
    <row r="9" spans="1:7" ht="35.1" customHeight="1" x14ac:dyDescent="0.3">
      <c r="D9" s="58"/>
      <c r="E9" s="48"/>
      <c r="F9" s="48"/>
      <c r="G9" s="48"/>
    </row>
    <row r="10" spans="1:7" ht="35.1" customHeight="1" x14ac:dyDescent="0.3">
      <c r="D10" s="58"/>
      <c r="E10" s="48"/>
      <c r="F10" s="48"/>
      <c r="G10" s="48"/>
    </row>
    <row r="11" spans="1:7" ht="35.1" customHeight="1" x14ac:dyDescent="0.3">
      <c r="D11" s="58"/>
      <c r="E11" s="48"/>
      <c r="F11" s="48"/>
      <c r="G11" s="48"/>
    </row>
    <row r="12" spans="1:7" ht="35.1" customHeight="1" x14ac:dyDescent="0.3">
      <c r="D12" s="58"/>
      <c r="E12" s="48"/>
      <c r="F12" s="48"/>
      <c r="G12" s="48"/>
    </row>
    <row r="13" spans="1:7" ht="35.1" customHeight="1" x14ac:dyDescent="0.3">
      <c r="D13" s="58"/>
      <c r="E13" s="48"/>
      <c r="F13" s="48"/>
      <c r="G13" s="48"/>
    </row>
    <row r="14" spans="1:7" ht="35.1" customHeight="1" x14ac:dyDescent="0.3">
      <c r="D14" s="58"/>
      <c r="E14" s="48"/>
      <c r="F14" s="48"/>
      <c r="G14" s="48"/>
    </row>
    <row r="15" spans="1:7" ht="35.1" customHeight="1" x14ac:dyDescent="0.3">
      <c r="D15" s="58"/>
      <c r="E15" s="48"/>
      <c r="F15" s="48"/>
      <c r="G15" s="48"/>
    </row>
    <row r="16" spans="1:7" ht="35.1" customHeight="1" x14ac:dyDescent="0.3">
      <c r="D16" s="58"/>
      <c r="E16" s="48"/>
      <c r="F16" s="48"/>
      <c r="G16" s="48"/>
    </row>
    <row r="17" spans="4:7" ht="35.1" customHeight="1" x14ac:dyDescent="0.3">
      <c r="D17" s="58"/>
      <c r="E17" s="48"/>
      <c r="F17" s="48"/>
      <c r="G17" s="48"/>
    </row>
    <row r="18" spans="4:7" ht="35.1" customHeight="1" x14ac:dyDescent="0.3">
      <c r="D18" s="58"/>
      <c r="E18" s="48"/>
      <c r="F18" s="48"/>
      <c r="G18" s="48"/>
    </row>
    <row r="19" spans="4:7" ht="35.1" customHeight="1" x14ac:dyDescent="0.3">
      <c r="D19" s="58"/>
      <c r="E19" s="48"/>
      <c r="F19" s="48"/>
      <c r="G19" s="48"/>
    </row>
    <row r="20" spans="4:7" ht="35.1" customHeight="1" x14ac:dyDescent="0.3">
      <c r="D20" s="58"/>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SharedWithUsers xmlns="0312c589-d2f5-4d6e-9fcd-d38b6d90001e">
      <UserInfo>
        <DisplayName/>
        <AccountId xsi:nil="true"/>
        <AccountType/>
      </UserInfo>
    </SharedWithUsers>
    <DateDelivered xmlns="8dc5747d-3021-4397-919f-ae4738a45f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81FAA8-2A48-4FA7-A173-9E8D8B583836}">
  <ds:schemaRefs>
    <ds:schemaRef ds:uri="http://schemas.microsoft.com/office/infopath/2007/PartnerControls"/>
    <ds:schemaRef ds:uri="http://schemas.microsoft.com/office/2006/documentManagement/types"/>
    <ds:schemaRef ds:uri="http://purl.org/dc/elements/1.1/"/>
    <ds:schemaRef ds:uri="http://www.w3.org/XML/1998/namespace"/>
    <ds:schemaRef ds:uri="http://purl.org/dc/terms/"/>
    <ds:schemaRef ds:uri="http://purl.org/dc/dcmitype/"/>
    <ds:schemaRef ds:uri="0312c589-d2f5-4d6e-9fcd-d38b6d90001e"/>
    <ds:schemaRef ds:uri="http://schemas.openxmlformats.org/package/2006/metadata/core-properties"/>
    <ds:schemaRef ds:uri="8dc5747d-3021-4397-919f-ae4738a45f50"/>
    <ds:schemaRef ds:uri="http://schemas.microsoft.com/office/2006/metadata/properties"/>
  </ds:schemaRefs>
</ds:datastoreItem>
</file>

<file path=customXml/itemProps2.xml><?xml version="1.0" encoding="utf-8"?>
<ds:datastoreItem xmlns:ds="http://schemas.openxmlformats.org/officeDocument/2006/customXml" ds:itemID="{8B9BEA61-9317-4FFA-A595-CAC3EDC91B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Column Descriptions</vt:lpstr>
      <vt:lpstr>ETL Detail</vt:lpstr>
      <vt:lpstr>Missing Data</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2026-01-15T21:51:41Z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